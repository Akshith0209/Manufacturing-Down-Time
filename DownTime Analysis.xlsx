
<file path=[Content_Types].xml><?xml version="1.0" encoding="utf-8"?>
<Types xmlns="http://schemas.openxmlformats.org/package/2006/content-type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pivotCache/pivotCacheDefinition10.xml" ContentType="application/vnd.openxmlformats-officedocument.spreadsheetml.pivotCacheDefinition+xml"/>
  <Override PartName="/xl/timelineCaches/timelineCache1.xml" ContentType="application/vnd.ms-excel.timeline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queryTables/queryTable2.xml" ContentType="application/vnd.openxmlformats-officedocument.spreadsheetml.queryTable+xml"/>
  <Override PartName="/xl/tables/table3.xml" ContentType="application/vnd.openxmlformats-officedocument.spreadsheetml.table+xml"/>
  <Override PartName="/xl/queryTables/queryTable3.xml" ContentType="application/vnd.openxmlformats-officedocument.spreadsheetml.queryTable+xml"/>
  <Override PartName="/xl/tables/table4.xml" ContentType="application/vnd.openxmlformats-officedocument.spreadsheetml.table+xml"/>
  <Override PartName="/xl/queryTables/queryTable4.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2.xml" ContentType="application/vnd.openxmlformats-officedocument.drawing+xml"/>
  <Override PartName="/xl/slicers/slicer1.xml" ContentType="application/vnd.ms-excel.slicer+xml"/>
  <Override PartName="/xl/timelines/timeline1.xml" ContentType="application/vnd.ms-excel.timelin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defaultThemeVersion="166925"/>
  <mc:AlternateContent xmlns:mc="http://schemas.openxmlformats.org/markup-compatibility/2006">
    <mc:Choice Requires="x15">
      <x15ac:absPath xmlns:x15ac="http://schemas.microsoft.com/office/spreadsheetml/2010/11/ac" url="https://d.docs.live.net/653d4955ee527290/Desktop/"/>
    </mc:Choice>
  </mc:AlternateContent>
  <xr:revisionPtr revIDLastSave="372" documentId="8_{659E55FA-FCD2-418F-8997-E116342624DA}" xr6:coauthVersionLast="47" xr6:coauthVersionMax="47" xr10:uidLastSave="{65BB9AFE-A674-46B7-ACE9-B03128001962}"/>
  <bookViews>
    <workbookView xWindow="-108" yWindow="-108" windowWidth="23256" windowHeight="12456" tabRatio="690" firstSheet="1" activeTab="5" xr2:uid="{6B8FD31D-D582-4E9B-ABB3-7E7E9236C45C}"/>
  </bookViews>
  <sheets>
    <sheet name="Products" sheetId="5" r:id="rId1"/>
    <sheet name="Line productivity" sheetId="4" r:id="rId2"/>
    <sheet name="Line downtime" sheetId="3" r:id="rId3"/>
    <sheet name="Downtime factors" sheetId="2" r:id="rId4"/>
    <sheet name="Analysis " sheetId="1" state="hidden" r:id="rId5"/>
    <sheet name="Executive Dashboard" sheetId="6" r:id="rId6"/>
  </sheets>
  <definedNames>
    <definedName name="_xlcn.WorksheetConnection_Book1Downtime_factors1" hidden="1">Downtime_factors[]</definedName>
    <definedName name="_xlcn.WorksheetConnection_Book1Line_downtime1" hidden="1">Line_downtime[]</definedName>
    <definedName name="_xlcn.WorksheetConnection_Book1Line_productivity1" hidden="1">Line_productivity[]</definedName>
    <definedName name="_xlcn.WorksheetConnection_Book1Products1" hidden="1">Products[]</definedName>
    <definedName name="ExternalData_1" localSheetId="3" hidden="1">'Downtime factors'!$A$1:$C$13</definedName>
    <definedName name="ExternalData_2" localSheetId="2" hidden="1">'Line downtime'!$A$1:$C$62</definedName>
    <definedName name="ExternalData_3" localSheetId="1" hidden="1">'Line productivity'!$A$1:$F$39</definedName>
    <definedName name="ExternalData_4" localSheetId="0" hidden="1">Products!$A$1:$D$7</definedName>
    <definedName name="Slicer_Description">#N/A</definedName>
    <definedName name="Slicer_Operator">#N/A</definedName>
    <definedName name="Timeline_Date">#N/A</definedName>
  </definedNames>
  <calcPr calcId="191029"/>
  <pivotCaches>
    <pivotCache cacheId="946" r:id="rId7"/>
    <pivotCache cacheId="949" r:id="rId8"/>
    <pivotCache cacheId="952" r:id="rId9"/>
    <pivotCache cacheId="955" r:id="rId10"/>
    <pivotCache cacheId="958" r:id="rId11"/>
    <pivotCache cacheId="961" r:id="rId12"/>
    <pivotCache cacheId="964" r:id="rId13"/>
    <pivotCache cacheId="967" r:id="rId14"/>
  </pivotCaches>
  <extLst>
    <ext xmlns:x14="http://schemas.microsoft.com/office/spreadsheetml/2009/9/main" uri="{876F7934-8845-4945-9796-88D515C7AA90}">
      <x14:pivotCaches>
        <pivotCache cacheId="7" r:id="rId15"/>
      </x14:pivotCaches>
    </ext>
    <ext xmlns:x14="http://schemas.microsoft.com/office/spreadsheetml/2009/9/main" uri="{BBE1A952-AA13-448e-AADC-164F8A28A991}">
      <x14:slicerCaches>
        <x14:slicerCache r:id="rId16"/>
        <x14:slicerCache r:id="rId17"/>
      </x14:slicerCaches>
    </ext>
    <ext xmlns:x14="http://schemas.microsoft.com/office/spreadsheetml/2009/9/main" uri="{79F54976-1DA5-4618-B147-4CDE4B953A38}">
      <x14:workbookPr/>
    </ext>
    <ext xmlns:x15="http://schemas.microsoft.com/office/spreadsheetml/2010/11/main" uri="{A2CB5862-8E78-49c6-8D9D-AF26E26ADB89}">
      <x15:timelineCachePivotCaches>
        <pivotCache cacheId="8" r:id="rId18"/>
      </x15:timelineCachePivotCaches>
    </ext>
    <ext xmlns:x15="http://schemas.microsoft.com/office/spreadsheetml/2010/11/main" uri="{D0CA8CA8-9F24-4464-BF8E-62219DCF47F9}">
      <x15:timelineCacheRefs>
        <x15:timelineCacheRef r:id="rId19"/>
      </x15:timelineCacheRefs>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Products" name="Products" connection="WorksheetConnection_Book1!Products"/>
          <x15:modelTable id="Line_productivity" name="Line_productivity" connection="WorksheetConnection_Book1!Line_productivity"/>
          <x15:modelTable id="Line_downtime" name="Line_downtime" connection="WorksheetConnection_Book1!Line_downtime"/>
          <x15:modelTable id="Downtime_factors" name="Downtime_factors" connection="WorksheetConnection_Book1!Downtime_factors"/>
        </x15:modelTables>
        <x15:modelRelationships>
          <x15:modelRelationship fromTable="Line_productivity" fromColumn="Product" toTable="Products" toColumn="Product"/>
          <x15:modelRelationship fromTable="Line_downtime" fromColumn="Batch" toTable="Line_productivity" toColumn="Batch"/>
          <x15:modelRelationship fromTable="Line_downtime" fromColumn="Factor" toTable="Downtime_factors" toColumn="Factor"/>
        </x15:modelRelationships>
        <x15:extLst>
          <ext xmlns:x16="http://schemas.microsoft.com/office/spreadsheetml/2014/11/main" uri="{9835A34E-60A6-4A7C-AAB8-D5F71C897F49}">
            <x16:modelTimeGroupings>
              <x16:modelTimeGrouping tableName="Line_productivity" columnName="Date" columnId="Date">
                <x16:calculatedTimeColumn columnName="Date (Month Index)" columnId="Date (Month Index)" contentType="monthsindex" isSelected="1"/>
                <x16:calculatedTimeColumn columnName="Date (Month)" columnId="Date (Month)" contentType="months" isSelected="1"/>
              </x16:modelTimeGrouping>
            </x16:modelTimeGroupings>
          </ext>
        </x15:extLst>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C2" i="1" l="1"/>
  <c r="C8" i="1"/>
  <c r="C5" i="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6ED28B35-695E-48E7-A82A-DA061FA95026}" keepAlive="1" name="Query - Downtime factors" description="Connection to the 'Downtime factors' query in the workbook." type="5" refreshedVersion="8" background="1" saveData="1">
    <dbPr connection="Provider=Microsoft.Mashup.OleDb.1;Data Source=$Workbook$;Location=&quot;Downtime factors&quot;;Extended Properties=&quot;&quot;" command="SELECT * FROM [Downtime factors]"/>
  </connection>
  <connection id="2" xr16:uid="{357B78F1-ED82-4C93-BE7F-19332596F1D4}" keepAlive="1" name="Query - Line downtime" description="Connection to the 'Line downtime' query in the workbook." type="5" refreshedVersion="8" background="1" saveData="1">
    <dbPr connection="Provider=Microsoft.Mashup.OleDb.1;Data Source=$Workbook$;Location=&quot;Line downtime&quot;;Extended Properties=&quot;&quot;" command="SELECT * FROM [Line downtime]"/>
  </connection>
  <connection id="3" xr16:uid="{3FDC6F20-2BF8-454E-94B2-E603F3327C66}" keepAlive="1" name="Query - Line productivity" description="Connection to the 'Line productivity' query in the workbook." type="5" refreshedVersion="8" background="1" saveData="1">
    <dbPr connection="Provider=Microsoft.Mashup.OleDb.1;Data Source=$Workbook$;Location=&quot;Line productivity&quot;;Extended Properties=&quot;&quot;" command="SELECT * FROM [Line productivity]"/>
  </connection>
  <connection id="4" xr16:uid="{7938D501-0E88-4A4A-B627-DA52C0FA5469}" keepAlive="1" name="Query - Products" description="Connection to the 'Products' query in the workbook." type="5" refreshedVersion="8" background="1" saveData="1">
    <dbPr connection="Provider=Microsoft.Mashup.OleDb.1;Data Source=$Workbook$;Location=Products;Extended Properties=&quot;&quot;" command="SELECT * FROM [Products]"/>
  </connection>
  <connection id="5" xr16:uid="{B284A9A5-AD4F-4F59-8032-CA77BE9FB211}"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6" xr16:uid="{A391117E-F7AF-4C1D-BA2B-E6B232D4AE44}" name="WorksheetConnection_Book1!Downtime_factors" type="102" refreshedVersion="8" minRefreshableVersion="5">
    <extLst>
      <ext xmlns:x15="http://schemas.microsoft.com/office/spreadsheetml/2010/11/main" uri="{DE250136-89BD-433C-8126-D09CA5730AF9}">
        <x15:connection id="Downtime_factors">
          <x15:rangePr sourceName="_xlcn.WorksheetConnection_Book1Downtime_factors1"/>
        </x15:connection>
      </ext>
    </extLst>
  </connection>
  <connection id="7" xr16:uid="{BCB21C41-54DB-463F-9BE6-13AA4B679046}" name="WorksheetConnection_Book1!Line_downtime" type="102" refreshedVersion="8" minRefreshableVersion="5">
    <extLst>
      <ext xmlns:x15="http://schemas.microsoft.com/office/spreadsheetml/2010/11/main" uri="{DE250136-89BD-433C-8126-D09CA5730AF9}">
        <x15:connection id="Line_downtime">
          <x15:rangePr sourceName="_xlcn.WorksheetConnection_Book1Line_downtime1"/>
        </x15:connection>
      </ext>
    </extLst>
  </connection>
  <connection id="8" xr16:uid="{A9B8927E-DB97-42E1-B1D5-CB1AB7E21079}" name="WorksheetConnection_Book1!Line_productivity" type="102" refreshedVersion="8" minRefreshableVersion="5">
    <extLst>
      <ext xmlns:x15="http://schemas.microsoft.com/office/spreadsheetml/2010/11/main" uri="{DE250136-89BD-433C-8126-D09CA5730AF9}">
        <x15:connection id="Line_productivity">
          <x15:rangePr sourceName="_xlcn.WorksheetConnection_Book1Line_productivity1"/>
        </x15:connection>
      </ext>
    </extLst>
  </connection>
  <connection id="9" xr16:uid="{07A4F17D-71BD-481F-83C2-675AC4AE6823}" name="WorksheetConnection_Book1!Products" type="102" refreshedVersion="8" minRefreshableVersion="5">
    <extLst>
      <ext xmlns:x15="http://schemas.microsoft.com/office/spreadsheetml/2010/11/main" uri="{DE250136-89BD-433C-8126-D09CA5730AF9}">
        <x15:connection id="Products">
          <x15:rangePr sourceName="_xlcn.WorksheetConnection_Book1Products1"/>
        </x15:connection>
      </ext>
    </extLst>
  </connection>
</connections>
</file>

<file path=xl/metadata.xml><?xml version="1.0" encoding="utf-8"?>
<metadata xmlns="http://schemas.openxmlformats.org/spreadsheetml/2006/main">
  <metadataTypes count="1">
    <metadataType name="XLMDX" minSupportedVersion="120000" copy="1" pasteAll="1" pasteValues="1" merge="1" splitFirst="1" rowColShift="1" clearFormats="1" clearComments="1" assign="1" coerce="1"/>
  </metadataTypes>
  <metadataStrings count="3">
    <s v="ThisWorkbookDataModel"/>
    <s v="{[Downtime_factors].[Operator Error].&amp;[Yes]}"/>
    <s v="{[Line_productivity].[Date (Month)].[All]}"/>
  </metadataStrings>
  <mdxMetadata count="2">
    <mdx n="0" f="s">
      <ms ns="1" c="0"/>
    </mdx>
    <mdx n="0" f="s">
      <ms ns="2" c="0"/>
    </mdx>
  </mdxMetadata>
  <valueMetadata count="2">
    <bk>
      <rc t="1" v="0"/>
    </bk>
    <bk>
      <rc t="1" v="1"/>
    </bk>
  </valueMetadata>
</metadata>
</file>

<file path=xl/sharedStrings.xml><?xml version="1.0" encoding="utf-8"?>
<sst xmlns="http://schemas.openxmlformats.org/spreadsheetml/2006/main" count="239" uniqueCount="65">
  <si>
    <t>Factor</t>
  </si>
  <si>
    <t>Description</t>
  </si>
  <si>
    <t>Operator Error</t>
  </si>
  <si>
    <t>Emergency stop</t>
  </si>
  <si>
    <t>No</t>
  </si>
  <si>
    <t>Batch change</t>
  </si>
  <si>
    <t>Yes</t>
  </si>
  <si>
    <t>Labeling error</t>
  </si>
  <si>
    <t>Inventory shortage</t>
  </si>
  <si>
    <t>Product spill</t>
  </si>
  <si>
    <t>Machine adjustment</t>
  </si>
  <si>
    <t>Machine failure</t>
  </si>
  <si>
    <t>Batch coding error</t>
  </si>
  <si>
    <t>Conveyor belt jam</t>
  </si>
  <si>
    <t>Calibration error</t>
  </si>
  <si>
    <t>Label switch</t>
  </si>
  <si>
    <t>Other</t>
  </si>
  <si>
    <t>Batch</t>
  </si>
  <si>
    <t>Value (In mins)</t>
  </si>
  <si>
    <t>2</t>
  </si>
  <si>
    <t>7</t>
  </si>
  <si>
    <t>8</t>
  </si>
  <si>
    <t>4</t>
  </si>
  <si>
    <t>6</t>
  </si>
  <si>
    <t>10</t>
  </si>
  <si>
    <t>11</t>
  </si>
  <si>
    <t>12</t>
  </si>
  <si>
    <t>5</t>
  </si>
  <si>
    <t>9</t>
  </si>
  <si>
    <t>3</t>
  </si>
  <si>
    <t>Date</t>
  </si>
  <si>
    <t>Product</t>
  </si>
  <si>
    <t>Operator</t>
  </si>
  <si>
    <t>Start Time</t>
  </si>
  <si>
    <t>End Time</t>
  </si>
  <si>
    <t>OR-600</t>
  </si>
  <si>
    <t>Mac</t>
  </si>
  <si>
    <t>LE-600</t>
  </si>
  <si>
    <t>Charlie</t>
  </si>
  <si>
    <t>CO-600</t>
  </si>
  <si>
    <t>Dee</t>
  </si>
  <si>
    <t>Dennis</t>
  </si>
  <si>
    <t>DC-600</t>
  </si>
  <si>
    <t>RB-600</t>
  </si>
  <si>
    <t>CO-2L</t>
  </si>
  <si>
    <t>Flavor</t>
  </si>
  <si>
    <t>Size</t>
  </si>
  <si>
    <t>Min batch time</t>
  </si>
  <si>
    <t>Orange</t>
  </si>
  <si>
    <t>600 ml</t>
  </si>
  <si>
    <t>Lemon lime</t>
  </si>
  <si>
    <t>Cola</t>
  </si>
  <si>
    <t>Diet Cola</t>
  </si>
  <si>
    <t>Root Beer</t>
  </si>
  <si>
    <t>2 L</t>
  </si>
  <si>
    <t>Total Operators</t>
  </si>
  <si>
    <t>Total Batches</t>
  </si>
  <si>
    <t>Row Labels</t>
  </si>
  <si>
    <t>Grand Total</t>
  </si>
  <si>
    <t>Sum of Value (In mins)</t>
  </si>
  <si>
    <t>All</t>
  </si>
  <si>
    <t>Average of Value (In mins)</t>
  </si>
  <si>
    <t xml:space="preserve">Total Downtime </t>
  </si>
  <si>
    <t>Date (Month)</t>
  </si>
  <si>
    <t>Column Labels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</si>
</sst>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1" x14ac:knownFonts="1">
    <font>
      <sz val="11"/>
      <color theme="1"/>
      <name val="Calibri"/>
      <family val="2"/>
      <scheme val="minor"/>
    </font>
  </fonts>
  <fills count="3">
    <fill>
      <patternFill patternType="none"/>
    </fill>
    <fill>
      <patternFill patternType="gray125"/>
    </fill>
    <fill>
      <patternFill patternType="solid">
        <fgColor theme="0"/>
        <bgColor indexed="64"/>
      </patternFill>
    </fill>
  </fills>
  <borders count="1">
    <border>
      <left/>
      <right/>
      <top/>
      <bottom/>
      <diagonal/>
    </border>
  </borders>
  <cellStyleXfs count="1">
    <xf numFmtId="0" fontId="0" fillId="0" borderId="0"/>
  </cellStyleXfs>
  <cellXfs count="9">
    <xf numFmtId="0" fontId="0" fillId="0" borderId="0" xfId="0"/>
    <xf numFmtId="14" fontId="0" fillId="0" borderId="0" xfId="0" applyNumberFormat="1"/>
    <xf numFmtId="22" fontId="0" fillId="0" borderId="0" xfId="0" applyNumberFormat="1"/>
    <xf numFmtId="0" fontId="0" fillId="0" borderId="0" xfId="0" pivotButton="1"/>
    <xf numFmtId="0" fontId="0" fillId="0" borderId="0" xfId="0" applyAlignment="1">
      <alignment horizontal="left"/>
    </xf>
    <xf numFmtId="2" fontId="0" fillId="0" borderId="0" xfId="0" applyNumberFormat="1"/>
    <xf numFmtId="0" fontId="0" fillId="2" borderId="0" xfId="0" applyFill="1"/>
    <xf numFmtId="14" fontId="0" fillId="0" borderId="0" xfId="0" applyNumberFormat="1" applyAlignment="1">
      <alignment horizontal="left"/>
    </xf>
    <xf numFmtId="0" fontId="0" fillId="0" borderId="0" xfId="0" applyNumberFormat="1"/>
  </cellXfs>
  <cellStyles count="1">
    <cellStyle name="Normal" xfId="0" builtinId="0"/>
  </cellStyles>
  <dxfs count="25">
    <dxf>
      <numFmt numFmtId="0" formatCode="General"/>
    </dxf>
    <dxf>
      <numFmt numFmtId="0" formatCode="General"/>
    </dxf>
    <dxf>
      <numFmt numFmtId="0" formatCode="General"/>
    </dxf>
    <dxf>
      <numFmt numFmtId="27" formatCode="dd/mm/yyyy\ h:mm"/>
    </dxf>
    <dxf>
      <numFmt numFmtId="27" formatCode="dd/mm/yyyy\ h:mm"/>
    </dxf>
    <dxf>
      <numFmt numFmtId="0" formatCode="General"/>
    </dxf>
    <dxf>
      <numFmt numFmtId="0" formatCode="General"/>
    </dxf>
    <dxf>
      <numFmt numFmtId="19" formatCode="dd/mm/yyyy"/>
    </dxf>
    <dxf>
      <numFmt numFmtId="0" formatCode="General"/>
    </dxf>
    <dxf>
      <numFmt numFmtId="0" formatCode="General"/>
    </dxf>
    <dxf>
      <numFmt numFmtId="0" formatCode="General"/>
    </dxf>
    <dxf>
      <font>
        <b/>
        <sz val="11"/>
        <color theme="1"/>
      </font>
      <fill>
        <patternFill>
          <bgColor theme="0"/>
        </patternFill>
      </fill>
    </dxf>
    <dxf>
      <fill>
        <patternFill patternType="solid">
          <fgColor theme="0"/>
          <bgColor theme="0"/>
        </patternFill>
      </fill>
      <border>
        <left style="thin">
          <color theme="1" tint="-0.499984740745262"/>
        </left>
        <right style="thin">
          <color theme="1" tint="-0.499984740745262"/>
        </right>
        <top style="thin">
          <color theme="1" tint="-0.499984740745262"/>
        </top>
        <bottom style="thin">
          <color theme="1" tint="-0.499984740745262"/>
        </bottom>
      </border>
    </dxf>
    <dxf>
      <font>
        <b/>
        <sz val="11"/>
        <color theme="1"/>
      </font>
    </dxf>
    <dxf>
      <fill>
        <patternFill patternType="solid">
          <fgColor theme="0"/>
          <bgColor theme="1"/>
        </patternFill>
      </fill>
      <border>
        <left style="thin">
          <color theme="1" tint="-0.499984740745262"/>
        </left>
        <right style="thin">
          <color theme="1" tint="-0.499984740745262"/>
        </right>
        <top style="thin">
          <color theme="1" tint="-0.499984740745262"/>
        </top>
        <bottom style="thin">
          <color theme="1" tint="-0.499984740745262"/>
        </bottom>
      </border>
    </dxf>
    <dxf>
      <font>
        <b/>
        <sz val="11"/>
        <color theme="1"/>
      </font>
      <fill>
        <patternFill patternType="none">
          <bgColor auto="1"/>
        </patternFill>
      </fill>
      <border diagonalUp="0" diagonalDown="0">
        <left/>
        <right/>
        <top/>
        <bottom/>
        <vertical/>
        <horizontal/>
      </border>
    </dxf>
    <dxf>
      <fill>
        <patternFill patternType="solid">
          <fgColor theme="0"/>
          <bgColor theme="0"/>
        </patternFill>
      </fill>
      <border>
        <left style="thin">
          <color theme="1" tint="-0.499984740745262"/>
        </left>
        <right style="thin">
          <color theme="1" tint="-0.499984740745262"/>
        </right>
        <top style="thin">
          <color theme="1" tint="-0.499984740745262"/>
        </top>
        <bottom style="thin">
          <color theme="1" tint="-0.499984740745262"/>
        </bottom>
      </border>
    </dxf>
    <dxf>
      <font>
        <b/>
        <sz val="11"/>
        <color theme="1"/>
      </font>
    </dxf>
    <dxf>
      <fill>
        <patternFill patternType="none">
          <fgColor indexed="64"/>
          <bgColor auto="1"/>
        </patternFill>
      </fill>
      <border diagonalUp="0" diagonalDown="0">
        <left/>
        <right/>
        <top/>
        <bottom/>
        <vertical/>
        <horizontal/>
      </border>
    </dxf>
    <dxf>
      <font>
        <b/>
        <sz val="11"/>
        <color theme="1"/>
      </font>
    </dxf>
    <dxf>
      <fill>
        <patternFill patternType="none">
          <fgColor indexed="64"/>
          <bgColor auto="1"/>
        </patternFill>
      </fill>
      <border diagonalUp="0" diagonalDown="0">
        <left/>
        <right/>
        <top/>
        <bottom/>
        <vertical/>
        <horizontal/>
      </border>
    </dxf>
    <dxf>
      <font>
        <color theme="0"/>
      </font>
      <fill>
        <patternFill patternType="none">
          <bgColor auto="1"/>
        </patternFill>
      </fill>
      <border diagonalUp="0" diagonalDown="0">
        <left/>
        <right/>
        <top/>
        <bottom/>
        <vertical/>
        <horizontal/>
      </border>
    </dxf>
    <dxf>
      <font>
        <b val="0"/>
        <i val="0"/>
        <name val="Aptos"/>
        <family val="2"/>
        <scheme val="none"/>
      </font>
      <fill>
        <patternFill>
          <bgColor theme="0"/>
        </patternFill>
      </fill>
    </dxf>
    <dxf>
      <border diagonalUp="0" diagonalDown="0">
        <left/>
        <right/>
        <top/>
        <bottom/>
        <vertical/>
        <horizontal/>
      </border>
    </dxf>
    <dxf>
      <fill>
        <patternFill>
          <bgColor theme="1"/>
        </patternFill>
      </fill>
    </dxf>
  </dxfs>
  <tableStyles count="14" defaultTableStyle="TableStyleMedium2" defaultPivotStyle="PivotStyleLight16">
    <tableStyle name="Slicer Style 1" pivot="0" table="0" count="1" xr9:uid="{CBA6BED8-C5BC-44BB-A4AD-F5645957222F}">
      <tableStyleElement type="wholeTable" dxfId="24"/>
    </tableStyle>
    <tableStyle name="Slicer Style 2" pivot="0" table="0" count="1" xr9:uid="{852FEAF5-DB2A-4C24-94D5-6BD67760B868}">
      <tableStyleElement type="wholeTable" dxfId="23"/>
    </tableStyle>
    <tableStyle name="Slicer Style 3" pivot="0" table="0" count="1" xr9:uid="{5FF34C0F-4B12-43F1-ACD8-EB45AF4C3412}">
      <tableStyleElement type="wholeTable" dxfId="22"/>
    </tableStyle>
    <tableStyle name="Slicer Style 4" pivot="0" table="0" count="1" xr9:uid="{7D9AD916-7E99-4528-A7B9-10EE52975B13}"/>
    <tableStyle name="Slicer Style 5" pivot="0" table="0" count="1" xr9:uid="{6F7D7871-2546-4F2A-9726-348804A17073}"/>
    <tableStyle name="Slicer Style 6" pivot="0" table="0" count="1" xr9:uid="{644C3C37-927A-4538-887B-0F1E48F0C9EC}"/>
    <tableStyle name="Slicer Style 7" pivot="0" table="0" count="1" xr9:uid="{491A8DC3-EFF6-4818-AD80-ED3A0F06856D}"/>
    <tableStyle name="Slicer Style 8" pivot="0" table="0" count="1" xr9:uid="{BDAAFEEB-9237-4B6A-8FA4-3FA2237AB80F}"/>
    <tableStyle name="Slicer Style 9" pivot="0" table="0" count="1" xr9:uid="{AD43BC1E-85B5-4F29-BDFA-A6AA66003B2F}">
      <tableStyleElement type="wholeTable" dxfId="21"/>
    </tableStyle>
    <tableStyle name="Timeline Style 1" pivot="0" table="0" count="8" xr9:uid="{5A441731-F844-4955-AEEA-1A03814A2202}">
      <tableStyleElement type="wholeTable" dxfId="20"/>
      <tableStyleElement type="headerRow" dxfId="19"/>
    </tableStyle>
    <tableStyle name="Timeline Style 2" pivot="0" table="0" count="8" xr9:uid="{40EE248B-A2E9-4B75-8995-CBBB9AD23C47}">
      <tableStyleElement type="wholeTable" dxfId="18"/>
      <tableStyleElement type="headerRow" dxfId="17"/>
    </tableStyle>
    <tableStyle name="Timeline Style 3" pivot="0" table="0" count="8" xr9:uid="{FED43550-6F07-4969-835B-92F68B2476A0}">
      <tableStyleElement type="wholeTable" dxfId="16"/>
      <tableStyleElement type="headerRow" dxfId="15"/>
    </tableStyle>
    <tableStyle name="Timeline Style 4" pivot="0" table="0" count="8" xr9:uid="{B6E1B228-707E-4979-A879-963C92C20813}">
      <tableStyleElement type="wholeTable" dxfId="14"/>
      <tableStyleElement type="headerRow" dxfId="13"/>
    </tableStyle>
    <tableStyle name="Timeline Style 5" pivot="0" table="0" count="8" xr9:uid="{9B42E034-9259-42BC-9E22-59674D948C06}">
      <tableStyleElement type="wholeTable" dxfId="12"/>
      <tableStyleElement type="headerRow" dxfId="11"/>
    </tableStyle>
  </tableStyles>
  <colors>
    <mruColors>
      <color rgb="FFFF0000"/>
    </mruColors>
  </colors>
  <extLst>
    <ext xmlns:x14="http://schemas.microsoft.com/office/spreadsheetml/2009/9/main" uri="{46F421CA-312F-682f-3DD2-61675219B42D}">
      <x14:dxfs count="5">
        <dxf>
          <font>
            <color theme="0"/>
          </font>
        </dxf>
        <dxf>
          <font>
            <color theme="0"/>
          </font>
        </dxf>
        <dxf>
          <fill>
            <patternFill>
              <bgColor theme="0"/>
            </patternFill>
          </fill>
        </dxf>
        <dxf>
          <fill>
            <patternFill>
              <bgColor theme="0"/>
            </patternFill>
          </fill>
        </dxf>
        <dxf>
          <fill>
            <patternFill>
              <bgColor theme="0"/>
            </patternFill>
          </fill>
        </dxf>
      </x14:dxfs>
    </ext>
    <ext xmlns:x14="http://schemas.microsoft.com/office/spreadsheetml/2009/9/main" uri="{EB79DEF2-80B8-43e5-95BD-54CBDDF9020C}">
      <x14:slicerStyles defaultSlicerStyle="SlicerStyleLight1">
        <x14:slicerStyle name="Slicer Style 1"/>
        <x14:slicerStyle name="Slicer Style 2"/>
        <x14:slicerStyle name="Slicer Style 3"/>
        <x14:slicerStyle name="Slicer Style 4">
          <x14:slicerStyleElements>
            <x14:slicerStyleElement type="selectedItemWithData" dxfId="4"/>
          </x14:slicerStyleElements>
        </x14:slicerStyle>
        <x14:slicerStyle name="Slicer Style 5">
          <x14:slicerStyleElements>
            <x14:slicerStyleElement type="selectedItemWithData" dxfId="3"/>
          </x14:slicerStyleElements>
        </x14:slicerStyle>
        <x14:slicerStyle name="Slicer Style 6">
          <x14:slicerStyleElements>
            <x14:slicerStyleElement type="unselectedItemWithData" dxfId="2"/>
          </x14:slicerStyleElements>
        </x14:slicerStyle>
        <x14:slicerStyle name="Slicer Style 7">
          <x14:slicerStyleElements>
            <x14:slicerStyleElement type="unselectedItemWithData" dxfId="1"/>
          </x14:slicerStyleElements>
        </x14:slicerStyle>
        <x14:slicerStyle name="Slicer Style 8">
          <x14:slicerStyleElements>
            <x14:slicerStyleElement type="unselectedItemWithNoData" dxfId="0"/>
          </x14:slicerStyleElements>
        </x14:slicerStyle>
        <x14:slicerStyle name="Slicer Style 9"/>
      </x14:slicerStyles>
    </ext>
    <ext xmlns:x15="http://schemas.microsoft.com/office/spreadsheetml/2010/11/main" uri="{A0A4C193-F2C1-4fcb-8827-314CF55A85BB}">
      <x15:dxfs count="30">
        <dxf>
          <fill>
            <patternFill patternType="solid">
              <fgColor theme="0" tint="-0.14999847407452621"/>
              <bgColor theme="0" tint="-0.14999847407452621"/>
            </patternFill>
          </fill>
        </dxf>
        <dxf>
          <fill>
            <patternFill patternType="solid">
              <fgColor theme="0"/>
              <bgColor theme="0"/>
            </patternFill>
          </fill>
        </dxf>
        <dxf>
          <font>
            <sz val="9"/>
            <color theme="1" tint="0.499984740745262"/>
          </font>
        </dxf>
        <dxf>
          <font>
            <sz val="9"/>
            <color theme="1" tint="0.499984740745262"/>
          </font>
        </dxf>
        <dxf>
          <font>
            <sz val="9"/>
            <color theme="1" tint="0.499984740745262"/>
          </font>
        </dxf>
        <dxf>
          <font>
            <sz val="10"/>
            <color theme="1" tint="0.499984740745262"/>
          </font>
        </dxf>
        <dxf>
          <fill>
            <patternFill patternType="solid">
              <fgColor theme="0" tint="-0.14999847407452621"/>
              <bgColor theme="0" tint="-0.14999847407452621"/>
            </patternFill>
          </fill>
        </dxf>
        <dxf>
          <fill>
            <patternFill patternType="solid">
              <fgColor theme="0"/>
              <bgColor theme="0"/>
            </patternFill>
          </fill>
        </dxf>
        <dxf>
          <font>
            <sz val="9"/>
            <color theme="1" tint="0.499984740745262"/>
          </font>
        </dxf>
        <dxf>
          <font>
            <sz val="9"/>
            <color theme="1" tint="0.499984740745262"/>
          </font>
        </dxf>
        <dxf>
          <font>
            <sz val="9"/>
            <color theme="1" tint="0.499984740745262"/>
          </font>
        </dxf>
        <dxf>
          <font>
            <sz val="10"/>
            <color theme="1" tint="0.499984740745262"/>
          </font>
        </dxf>
        <dxf>
          <fill>
            <patternFill patternType="solid">
              <fgColor theme="0" tint="-0.14999847407452621"/>
              <bgColor theme="0" tint="-0.14999847407452621"/>
            </patternFill>
          </fill>
        </dxf>
        <dxf>
          <fill>
            <patternFill patternType="solid">
              <fgColor theme="0"/>
              <bgColor theme="0"/>
            </patternFill>
          </fill>
        </dxf>
        <dxf>
          <font>
            <sz val="9"/>
            <color theme="1" tint="0.499984740745262"/>
          </font>
        </dxf>
        <dxf>
          <font>
            <sz val="9"/>
            <color theme="1" tint="0.499984740745262"/>
          </font>
        </dxf>
        <dxf>
          <font>
            <sz val="9"/>
            <color theme="1" tint="0.499984740745262"/>
          </font>
        </dxf>
        <dxf>
          <font>
            <sz val="10"/>
            <color theme="1" tint="0.499984740745262"/>
          </font>
        </dxf>
        <dxf>
          <fill>
            <patternFill patternType="solid">
              <fgColor theme="0" tint="-0.14999847407452621"/>
              <bgColor theme="0" tint="-0.14999847407452621"/>
            </patternFill>
          </fill>
        </dxf>
        <dxf>
          <fill>
            <patternFill patternType="solid">
              <fgColor theme="0"/>
              <bgColor theme="0"/>
            </patternFill>
          </fill>
        </dxf>
        <dxf>
          <font>
            <sz val="9"/>
            <color theme="1" tint="0.499984740745262"/>
          </font>
        </dxf>
        <dxf>
          <font>
            <sz val="9"/>
            <color theme="1" tint="0.499984740745262"/>
          </font>
        </dxf>
        <dxf>
          <font>
            <sz val="9"/>
            <color theme="1" tint="0.499984740745262"/>
          </font>
        </dxf>
        <dxf>
          <font>
            <sz val="10"/>
            <color theme="1" tint="0.499984740745262"/>
          </font>
        </dxf>
        <dxf>
          <fill>
            <patternFill patternType="solid">
              <fgColor theme="0" tint="-0.14999847407452621"/>
              <bgColor theme="0" tint="-0.14999847407452621"/>
            </patternFill>
          </fill>
        </dxf>
        <dxf>
          <fill>
            <patternFill patternType="solid">
              <fgColor theme="0"/>
              <bgColor theme="0"/>
            </patternFill>
          </fill>
        </dxf>
        <dxf>
          <font>
            <sz val="9"/>
            <color theme="1" tint="0.499984740745262"/>
          </font>
        </dxf>
        <dxf>
          <font>
            <sz val="9"/>
            <color theme="1" tint="0.499984740745262"/>
          </font>
        </dxf>
        <dxf>
          <font>
            <sz val="9"/>
            <color theme="1" tint="0.499984740745262"/>
          </font>
        </dxf>
        <dxf>
          <font>
            <sz val="10"/>
            <color theme="1" tint="0.499984740745262"/>
          </font>
        </dxf>
      </x15:dxfs>
    </ext>
    <ext xmlns:x15="http://schemas.microsoft.com/office/spreadsheetml/2010/11/main" uri="{9260A510-F301-46a8-8635-F512D64BE5F5}">
      <x15:timelineStyles defaultTimelineStyle="TimeSlicerStyleLight1">
        <x15:timelineStyle name="Timeline Style 1">
          <x15:timelineStyleElements>
            <x15:timelineStyleElement type="selectionLabel" dxfId="29"/>
            <x15:timelineStyleElement type="timeLevel" dxfId="28"/>
            <x15:timelineStyleElement type="periodLabel1" dxfId="27"/>
            <x15:timelineStyleElement type="periodLabel2" dxfId="26"/>
            <x15:timelineStyleElement type="selectedTimeBlock" dxfId="25"/>
            <x15:timelineStyleElement type="unselectedTimeBlock" dxfId="24"/>
          </x15:timelineStyleElements>
        </x15:timelineStyle>
        <x15:timelineStyle name="Timeline Style 2">
          <x15:timelineStyleElements>
            <x15:timelineStyleElement type="selectionLabel" dxfId="23"/>
            <x15:timelineStyleElement type="timeLevel" dxfId="22"/>
            <x15:timelineStyleElement type="periodLabel1" dxfId="21"/>
            <x15:timelineStyleElement type="periodLabel2" dxfId="20"/>
            <x15:timelineStyleElement type="selectedTimeBlock" dxfId="19"/>
            <x15:timelineStyleElement type="unselectedTimeBlock" dxfId="18"/>
          </x15:timelineStyleElements>
        </x15:timelineStyle>
        <x15:timelineStyle name="Timeline Style 3">
          <x15:timelineStyleElements>
            <x15:timelineStyleElement type="selectionLabel" dxfId="17"/>
            <x15:timelineStyleElement type="timeLevel" dxfId="16"/>
            <x15:timelineStyleElement type="periodLabel1" dxfId="15"/>
            <x15:timelineStyleElement type="periodLabel2" dxfId="14"/>
            <x15:timelineStyleElement type="selectedTimeBlock" dxfId="13"/>
            <x15:timelineStyleElement type="unselectedTimeBlock" dxfId="12"/>
          </x15:timelineStyleElements>
        </x15:timelineStyle>
        <x15:timelineStyle name="Timeline Style 4">
          <x15:timelineStyleElements>
            <x15:timelineStyleElement type="selectionLabel" dxfId="11"/>
            <x15:timelineStyleElement type="timeLevel" dxfId="10"/>
            <x15:timelineStyleElement type="periodLabel1" dxfId="9"/>
            <x15:timelineStyleElement type="periodLabel2" dxfId="8"/>
            <x15:timelineStyleElement type="selectedTimeBlock" dxfId="7"/>
            <x15:timelineStyleElement type="unselectedTimeBlock" dxfId="6"/>
          </x15:timelineStyleElements>
        </x15:timelineStyle>
        <x15:timelineStyle name="Timeline Style 5">
          <x15:timelineStyleElements>
            <x15:timelineStyleElement type="selectionLabel" dxfId="5"/>
            <x15:timelineStyleElement type="timeLevel" dxfId="4"/>
            <x15:timelineStyleElement type="periodLabel1" dxfId="3"/>
            <x15:timelineStyleElement type="periodLabel2" dxfId="2"/>
            <x15:timelineStyleElement type="selectedTimeBlock" dxfId="1"/>
            <x15:timelineStyleElement type="unselectedTimeBlock" dxfId="0"/>
          </x15:timelineStyleElements>
        </x15:timelineStyle>
      </x15:timelineStyles>
    </ext>
  </extLst>
</styleSheet>
</file>

<file path=xl/_rels/workbook.xml.rels><?xml version="1.0" encoding="UTF-8" standalone="yes"?>
<Relationships xmlns="http://schemas.openxmlformats.org/package/2006/relationships"><Relationship Id="rId13" Type="http://schemas.openxmlformats.org/officeDocument/2006/relationships/pivotCacheDefinition" Target="pivotCache/pivotCacheDefinition7.xml"/><Relationship Id="rId18" Type="http://schemas.openxmlformats.org/officeDocument/2006/relationships/pivotCacheDefinition" Target="pivotCache/pivotCacheDefinition10.xml"/><Relationship Id="rId26" Type="http://schemas.microsoft.com/office/2017/10/relationships/person" Target="persons/person.xml"/><Relationship Id="rId39" Type="http://schemas.openxmlformats.org/officeDocument/2006/relationships/customXml" Target="../customXml/item12.xml"/><Relationship Id="rId21" Type="http://schemas.openxmlformats.org/officeDocument/2006/relationships/connections" Target="connections.xml"/><Relationship Id="rId34" Type="http://schemas.openxmlformats.org/officeDocument/2006/relationships/customXml" Target="../customXml/item7.xml"/><Relationship Id="rId42" Type="http://schemas.openxmlformats.org/officeDocument/2006/relationships/customXml" Target="../customXml/item15.xml"/><Relationship Id="rId47" Type="http://schemas.openxmlformats.org/officeDocument/2006/relationships/customXml" Target="../customXml/item20.xml"/><Relationship Id="rId7" Type="http://schemas.openxmlformats.org/officeDocument/2006/relationships/pivotCacheDefinition" Target="pivotCache/pivotCacheDefinition1.xml"/><Relationship Id="rId2" Type="http://schemas.openxmlformats.org/officeDocument/2006/relationships/worksheet" Target="worksheets/sheet2.xml"/><Relationship Id="rId16" Type="http://schemas.microsoft.com/office/2007/relationships/slicerCache" Target="slicerCaches/slicerCache1.xml"/><Relationship Id="rId29" Type="http://schemas.openxmlformats.org/officeDocument/2006/relationships/customXml" Target="../customXml/item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5.xml"/><Relationship Id="rId24" Type="http://schemas.openxmlformats.org/officeDocument/2006/relationships/sheetMetadata" Target="metadata.xml"/><Relationship Id="rId32" Type="http://schemas.openxmlformats.org/officeDocument/2006/relationships/customXml" Target="../customXml/item5.xml"/><Relationship Id="rId37" Type="http://schemas.openxmlformats.org/officeDocument/2006/relationships/customXml" Target="../customXml/item10.xml"/><Relationship Id="rId40" Type="http://schemas.openxmlformats.org/officeDocument/2006/relationships/customXml" Target="../customXml/item13.xml"/><Relationship Id="rId45" Type="http://schemas.openxmlformats.org/officeDocument/2006/relationships/customXml" Target="../customXml/item18.xml"/><Relationship Id="rId5" Type="http://schemas.openxmlformats.org/officeDocument/2006/relationships/worksheet" Target="worksheets/sheet5.xml"/><Relationship Id="rId15" Type="http://schemas.openxmlformats.org/officeDocument/2006/relationships/pivotCacheDefinition" Target="pivotCache/pivotCacheDefinition9.xml"/><Relationship Id="rId23" Type="http://schemas.openxmlformats.org/officeDocument/2006/relationships/sharedStrings" Target="sharedStrings.xml"/><Relationship Id="rId28" Type="http://schemas.openxmlformats.org/officeDocument/2006/relationships/customXml" Target="../customXml/item1.xml"/><Relationship Id="rId36" Type="http://schemas.openxmlformats.org/officeDocument/2006/relationships/customXml" Target="../customXml/item9.xml"/><Relationship Id="rId10" Type="http://schemas.openxmlformats.org/officeDocument/2006/relationships/pivotCacheDefinition" Target="pivotCache/pivotCacheDefinition4.xml"/><Relationship Id="rId19" Type="http://schemas.microsoft.com/office/2011/relationships/timelineCache" Target="timelineCaches/timelineCache1.xml"/><Relationship Id="rId31" Type="http://schemas.openxmlformats.org/officeDocument/2006/relationships/customXml" Target="../customXml/item4.xml"/><Relationship Id="rId44" Type="http://schemas.openxmlformats.org/officeDocument/2006/relationships/customXml" Target="../customXml/item17.xml"/><Relationship Id="rId4" Type="http://schemas.openxmlformats.org/officeDocument/2006/relationships/worksheet" Target="worksheets/sheet4.xml"/><Relationship Id="rId9" Type="http://schemas.openxmlformats.org/officeDocument/2006/relationships/pivotCacheDefinition" Target="pivotCache/pivotCacheDefinition3.xml"/><Relationship Id="rId14" Type="http://schemas.openxmlformats.org/officeDocument/2006/relationships/pivotCacheDefinition" Target="pivotCache/pivotCacheDefinition8.xml"/><Relationship Id="rId22" Type="http://schemas.openxmlformats.org/officeDocument/2006/relationships/styles" Target="styles.xml"/><Relationship Id="rId27" Type="http://schemas.openxmlformats.org/officeDocument/2006/relationships/calcChain" Target="calcChain.xml"/><Relationship Id="rId30" Type="http://schemas.openxmlformats.org/officeDocument/2006/relationships/customXml" Target="../customXml/item3.xml"/><Relationship Id="rId35" Type="http://schemas.openxmlformats.org/officeDocument/2006/relationships/customXml" Target="../customXml/item8.xml"/><Relationship Id="rId43" Type="http://schemas.openxmlformats.org/officeDocument/2006/relationships/customXml" Target="../customXml/item16.xml"/><Relationship Id="rId8" Type="http://schemas.openxmlformats.org/officeDocument/2006/relationships/pivotCacheDefinition" Target="pivotCache/pivotCacheDefinition2.xml"/><Relationship Id="rId3" Type="http://schemas.openxmlformats.org/officeDocument/2006/relationships/worksheet" Target="worksheets/sheet3.xml"/><Relationship Id="rId12" Type="http://schemas.openxmlformats.org/officeDocument/2006/relationships/pivotCacheDefinition" Target="pivotCache/pivotCacheDefinition6.xml"/><Relationship Id="rId17" Type="http://schemas.microsoft.com/office/2007/relationships/slicerCache" Target="slicerCaches/slicerCache2.xml"/><Relationship Id="rId25" Type="http://schemas.openxmlformats.org/officeDocument/2006/relationships/powerPivotData" Target="model/item.data"/><Relationship Id="rId33" Type="http://schemas.openxmlformats.org/officeDocument/2006/relationships/customXml" Target="../customXml/item6.xml"/><Relationship Id="rId38" Type="http://schemas.openxmlformats.org/officeDocument/2006/relationships/customXml" Target="../customXml/item11.xml"/><Relationship Id="rId46" Type="http://schemas.openxmlformats.org/officeDocument/2006/relationships/customXml" Target="../customXml/item19.xml"/><Relationship Id="rId20" Type="http://schemas.openxmlformats.org/officeDocument/2006/relationships/theme" Target="theme/theme1.xml"/><Relationship Id="rId41" Type="http://schemas.openxmlformats.org/officeDocument/2006/relationships/customXml" Target="../customXml/item14.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[Manufacturing Downtime.xlsx]Analysis !PivotTable5</c:name>
    <c:fmtId val="25"/>
  </c:pivotSource>
  <c:chart>
    <c:autoTitleDeleted val="1"/>
    <c:pivotFmts>
      <c:pivotFmt>
        <c:idx val="0"/>
        <c:spPr>
          <a:ln w="28575" cap="rnd">
            <a:solidFill>
              <a:srgbClr val="FF000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'Analysis '!$B$21</c:f>
              <c:strCache>
                <c:ptCount val="1"/>
                <c:pt idx="0">
                  <c:v>Total</c:v>
                </c:pt>
              </c:strCache>
            </c:strRef>
          </c:tx>
          <c:spPr>
            <a:ln w="28575" cap="rnd">
              <a:solidFill>
                <a:srgbClr val="FF0000"/>
              </a:solidFill>
              <a:round/>
            </a:ln>
            <a:effectLst/>
          </c:spPr>
          <c:marker>
            <c:symbol val="none"/>
          </c:marker>
          <c:cat>
            <c:strRef>
              <c:f>'Analysis '!$A$22:$A$27</c:f>
              <c:strCache>
                <c:ptCount val="5"/>
                <c:pt idx="0">
                  <c:v>29-08-2024</c:v>
                </c:pt>
                <c:pt idx="1">
                  <c:v>30-08-2024</c:v>
                </c:pt>
                <c:pt idx="2">
                  <c:v>31-08-2024</c:v>
                </c:pt>
                <c:pt idx="3">
                  <c:v>02-09-2024</c:v>
                </c:pt>
                <c:pt idx="4">
                  <c:v>03-09-2024</c:v>
                </c:pt>
              </c:strCache>
            </c:strRef>
          </c:cat>
          <c:val>
            <c:numRef>
              <c:f>'Analysis '!$B$22:$B$27</c:f>
              <c:numCache>
                <c:formatCode>General</c:formatCode>
                <c:ptCount val="5"/>
                <c:pt idx="0">
                  <c:v>244</c:v>
                </c:pt>
                <c:pt idx="1">
                  <c:v>444</c:v>
                </c:pt>
                <c:pt idx="2">
                  <c:v>165</c:v>
                </c:pt>
                <c:pt idx="3">
                  <c:v>503</c:v>
                </c:pt>
                <c:pt idx="4">
                  <c:v>32</c:v>
                </c:pt>
              </c:numCache>
            </c:numRef>
          </c:val>
          <c:smooth val="0"/>
          <c:extLst>
            <c:ext xmlns:c16="http://schemas.microsoft.com/office/drawing/2014/chart" uri="{C3380CC4-5D6E-409C-BE32-E72D297353CC}">
              <c16:uniqueId val="{00000007-D1D0-44DD-A4DD-E6C87203003D}"/>
            </c:ext>
          </c:extLst>
        </c:ser>
        <c:dLbls>
          <c:showLegendKey val="0"/>
          <c:showVal val="0"/>
          <c:showCatName val="0"/>
          <c:showSerName val="0"/>
          <c:showPercent val="0"/>
          <c:showBubbleSize val="0"/>
        </c:dLbls>
        <c:smooth val="0"/>
        <c:axId val="321521136"/>
        <c:axId val="211375696"/>
      </c:lineChart>
      <c:catAx>
        <c:axId val="321521136"/>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1375696"/>
        <c:crosses val="autoZero"/>
        <c:auto val="1"/>
        <c:lblAlgn val="ctr"/>
        <c:lblOffset val="100"/>
        <c:noMultiLvlLbl val="0"/>
      </c:catAx>
      <c:valAx>
        <c:axId val="211375696"/>
        <c:scaling>
          <c:orientation val="minMax"/>
        </c:scaling>
        <c:delete val="0"/>
        <c:axPos val="l"/>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2152113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[Manufacturing Downtime.xlsx]Analysis !PivotTable6</c:name>
    <c:fmtId val="4"/>
  </c:pivotSource>
  <c:chart>
    <c:autoTitleDeleted val="1"/>
    <c:pivotFmts>
      <c:pivotFmt>
        <c:idx val="0"/>
        <c:spPr>
          <a:solidFill>
            <a:srgbClr val="FF0000"/>
          </a:solidFill>
          <a:ln>
            <a:solidFill>
              <a:srgbClr val="FF0000"/>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'Analysis '!$B$30</c:f>
              <c:strCache>
                <c:ptCount val="1"/>
                <c:pt idx="0">
                  <c:v>Total</c:v>
                </c:pt>
              </c:strCache>
            </c:strRef>
          </c:tx>
          <c:spPr>
            <a:solidFill>
              <a:srgbClr val="FF0000"/>
            </a:solidFill>
            <a:ln>
              <a:solidFill>
                <a:srgbClr val="FF0000"/>
              </a:solid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 '!$A$31:$A$36</c:f>
              <c:strCache>
                <c:ptCount val="5"/>
                <c:pt idx="0">
                  <c:v>Cola</c:v>
                </c:pt>
                <c:pt idx="1">
                  <c:v>Diet Cola</c:v>
                </c:pt>
                <c:pt idx="2">
                  <c:v>Lemon lime</c:v>
                </c:pt>
                <c:pt idx="3">
                  <c:v>Orange</c:v>
                </c:pt>
                <c:pt idx="4">
                  <c:v>Root Beer</c:v>
                </c:pt>
              </c:strCache>
            </c:strRef>
          </c:cat>
          <c:val>
            <c:numRef>
              <c:f>'Analysis '!$B$31:$B$36</c:f>
              <c:numCache>
                <c:formatCode>General</c:formatCode>
                <c:ptCount val="5"/>
                <c:pt idx="0">
                  <c:v>771</c:v>
                </c:pt>
                <c:pt idx="1">
                  <c:v>115</c:v>
                </c:pt>
                <c:pt idx="2">
                  <c:v>169</c:v>
                </c:pt>
                <c:pt idx="3">
                  <c:v>75</c:v>
                </c:pt>
                <c:pt idx="4">
                  <c:v>258</c:v>
                </c:pt>
              </c:numCache>
            </c:numRef>
          </c:val>
          <c:extLst>
            <c:ext xmlns:c16="http://schemas.microsoft.com/office/drawing/2014/chart" uri="{C3380CC4-5D6E-409C-BE32-E72D297353CC}">
              <c16:uniqueId val="{00000007-5BEE-414D-B425-ABB52F71DA63}"/>
            </c:ext>
          </c:extLst>
        </c:ser>
        <c:dLbls>
          <c:showLegendKey val="0"/>
          <c:showVal val="0"/>
          <c:showCatName val="0"/>
          <c:showSerName val="0"/>
          <c:showPercent val="0"/>
          <c:showBubbleSize val="0"/>
        </c:dLbls>
        <c:gapWidth val="150"/>
        <c:axId val="1339284192"/>
        <c:axId val="1319131536"/>
      </c:barChart>
      <c:catAx>
        <c:axId val="133928419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19131536"/>
        <c:crosses val="autoZero"/>
        <c:auto val="1"/>
        <c:lblAlgn val="ctr"/>
        <c:lblOffset val="100"/>
        <c:noMultiLvlLbl val="0"/>
      </c:catAx>
      <c:valAx>
        <c:axId val="1319131536"/>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3928419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[Manufacturing Downtime.xlsx]Analysis !PivotTable7</c:name>
    <c:fmtId val="2"/>
  </c:pivotSource>
  <c:chart>
    <c:autoTitleDeleted val="1"/>
    <c:pivotFmts>
      <c:pivotFmt>
        <c:idx val="0"/>
        <c:spPr>
          <a:solidFill>
            <a:srgbClr val="FF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'Analysis '!$B$39</c:f>
              <c:strCache>
                <c:ptCount val="1"/>
                <c:pt idx="0">
                  <c:v>Total</c:v>
                </c:pt>
              </c:strCache>
            </c:strRef>
          </c:tx>
          <c:spPr>
            <a:solidFill>
              <a:srgbClr val="FF00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 '!$A$40:$A$45</c:f>
              <c:strCache>
                <c:ptCount val="5"/>
                <c:pt idx="0">
                  <c:v>Batch change</c:v>
                </c:pt>
                <c:pt idx="1">
                  <c:v>Batch coding error</c:v>
                </c:pt>
                <c:pt idx="2">
                  <c:v>Inventory shortage</c:v>
                </c:pt>
                <c:pt idx="3">
                  <c:v>Machine adjustment</c:v>
                </c:pt>
                <c:pt idx="4">
                  <c:v>Machine failure</c:v>
                </c:pt>
              </c:strCache>
            </c:strRef>
          </c:cat>
          <c:val>
            <c:numRef>
              <c:f>'Analysis '!$B$40:$B$45</c:f>
              <c:numCache>
                <c:formatCode>General</c:formatCode>
                <c:ptCount val="5"/>
                <c:pt idx="0">
                  <c:v>160</c:v>
                </c:pt>
                <c:pt idx="1">
                  <c:v>145</c:v>
                </c:pt>
                <c:pt idx="2">
                  <c:v>225</c:v>
                </c:pt>
                <c:pt idx="3">
                  <c:v>332</c:v>
                </c:pt>
                <c:pt idx="4">
                  <c:v>254</c:v>
                </c:pt>
              </c:numCache>
            </c:numRef>
          </c:val>
          <c:extLst>
            <c:ext xmlns:c16="http://schemas.microsoft.com/office/drawing/2014/chart" uri="{C3380CC4-5D6E-409C-BE32-E72D297353CC}">
              <c16:uniqueId val="{00000008-B7B5-474A-98F0-83A302B6CFC5}"/>
            </c:ext>
          </c:extLst>
        </c:ser>
        <c:dLbls>
          <c:showLegendKey val="0"/>
          <c:showVal val="0"/>
          <c:showCatName val="0"/>
          <c:showSerName val="0"/>
          <c:showPercent val="0"/>
          <c:showBubbleSize val="0"/>
        </c:dLbls>
        <c:gapWidth val="182"/>
        <c:axId val="2081258928"/>
        <c:axId val="1319214576"/>
      </c:barChart>
      <c:catAx>
        <c:axId val="2081258928"/>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19214576"/>
        <c:crosses val="autoZero"/>
        <c:auto val="1"/>
        <c:lblAlgn val="ctr"/>
        <c:lblOffset val="100"/>
        <c:noMultiLvlLbl val="0"/>
      </c:catAx>
      <c:valAx>
        <c:axId val="1319214576"/>
        <c:scaling>
          <c:orientation val="minMax"/>
        </c:scaling>
        <c:delete val="0"/>
        <c:axPos val="b"/>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8125892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[Manufacturing Downtime.xlsx]Analysis !PivotTable8</c:name>
    <c:fmtId val="7"/>
  </c:pivotSource>
  <c:chart>
    <c:autoTitleDeleted val="0"/>
    <c:pivotFmts>
      <c:pivotFmt>
        <c:idx val="0"/>
        <c:spPr>
          <a:solidFill>
            <a:schemeClr val="bg2"/>
          </a:solidFill>
          <a:ln>
            <a:solidFill>
              <a:schemeClr val="bg2">
                <a:lumMod val="90000"/>
              </a:schemeClr>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FF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'Analysis '!$B$48:$B$49</c:f>
              <c:strCache>
                <c:ptCount val="1"/>
                <c:pt idx="0">
                  <c:v>No</c:v>
                </c:pt>
              </c:strCache>
            </c:strRef>
          </c:tx>
          <c:spPr>
            <a:solidFill>
              <a:schemeClr val="bg2"/>
            </a:solidFill>
            <a:ln>
              <a:solidFill>
                <a:schemeClr val="bg2">
                  <a:lumMod val="90000"/>
                </a:schemeClr>
              </a:solid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 '!$A$50:$A$54</c:f>
              <c:strCache>
                <c:ptCount val="4"/>
                <c:pt idx="0">
                  <c:v>Charlie</c:v>
                </c:pt>
                <c:pt idx="1">
                  <c:v>Dee</c:v>
                </c:pt>
                <c:pt idx="2">
                  <c:v>Dennis</c:v>
                </c:pt>
                <c:pt idx="3">
                  <c:v>Mac</c:v>
                </c:pt>
              </c:strCache>
            </c:strRef>
          </c:cat>
          <c:val>
            <c:numRef>
              <c:f>'Analysis '!$B$50:$B$54</c:f>
              <c:numCache>
                <c:formatCode>General</c:formatCode>
                <c:ptCount val="4"/>
                <c:pt idx="0">
                  <c:v>156</c:v>
                </c:pt>
                <c:pt idx="1">
                  <c:v>178</c:v>
                </c:pt>
                <c:pt idx="2">
                  <c:v>138</c:v>
                </c:pt>
                <c:pt idx="3">
                  <c:v>140</c:v>
                </c:pt>
              </c:numCache>
            </c:numRef>
          </c:val>
          <c:extLst>
            <c:ext xmlns:c16="http://schemas.microsoft.com/office/drawing/2014/chart" uri="{C3380CC4-5D6E-409C-BE32-E72D297353CC}">
              <c16:uniqueId val="{00000000-7F2F-473F-8D2B-43C9C6D50D0E}"/>
            </c:ext>
          </c:extLst>
        </c:ser>
        <c:ser>
          <c:idx val="1"/>
          <c:order val="1"/>
          <c:tx>
            <c:strRef>
              <c:f>'Analysis '!$C$48:$C$49</c:f>
              <c:strCache>
                <c:ptCount val="1"/>
                <c:pt idx="0">
                  <c:v>Yes</c:v>
                </c:pt>
              </c:strCache>
            </c:strRef>
          </c:tx>
          <c:spPr>
            <a:solidFill>
              <a:srgbClr val="FF00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 '!$A$50:$A$54</c:f>
              <c:strCache>
                <c:ptCount val="4"/>
                <c:pt idx="0">
                  <c:v>Charlie</c:v>
                </c:pt>
                <c:pt idx="1">
                  <c:v>Dee</c:v>
                </c:pt>
                <c:pt idx="2">
                  <c:v>Dennis</c:v>
                </c:pt>
                <c:pt idx="3">
                  <c:v>Mac</c:v>
                </c:pt>
              </c:strCache>
            </c:strRef>
          </c:cat>
          <c:val>
            <c:numRef>
              <c:f>'Analysis '!$C$50:$C$54</c:f>
              <c:numCache>
                <c:formatCode>General</c:formatCode>
                <c:ptCount val="4"/>
                <c:pt idx="0">
                  <c:v>228</c:v>
                </c:pt>
                <c:pt idx="1">
                  <c:v>192</c:v>
                </c:pt>
                <c:pt idx="2">
                  <c:v>164</c:v>
                </c:pt>
                <c:pt idx="3">
                  <c:v>192</c:v>
                </c:pt>
              </c:numCache>
            </c:numRef>
          </c:val>
          <c:extLst>
            <c:ext xmlns:c16="http://schemas.microsoft.com/office/drawing/2014/chart" uri="{C3380CC4-5D6E-409C-BE32-E72D297353CC}">
              <c16:uniqueId val="{00000001-7F2F-473F-8D2B-43C9C6D50D0E}"/>
            </c:ext>
          </c:extLst>
        </c:ser>
        <c:dLbls>
          <c:dLblPos val="outEnd"/>
          <c:showLegendKey val="0"/>
          <c:showVal val="1"/>
          <c:showCatName val="0"/>
          <c:showSerName val="0"/>
          <c:showPercent val="0"/>
          <c:showBubbleSize val="0"/>
        </c:dLbls>
        <c:gapWidth val="219"/>
        <c:overlap val="-27"/>
        <c:axId val="356460927"/>
        <c:axId val="627259343"/>
      </c:barChart>
      <c:catAx>
        <c:axId val="35646092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27259343"/>
        <c:crosses val="autoZero"/>
        <c:auto val="1"/>
        <c:lblAlgn val="ctr"/>
        <c:lblOffset val="100"/>
        <c:noMultiLvlLbl val="0"/>
      </c:catAx>
      <c:valAx>
        <c:axId val="627259343"/>
        <c:scaling>
          <c:orientation val="minMax"/>
        </c:scaling>
        <c:delete val="1"/>
        <c:axPos val="l"/>
        <c:numFmt formatCode="General" sourceLinked="1"/>
        <c:majorTickMark val="none"/>
        <c:minorTickMark val="none"/>
        <c:tickLblPos val="nextTo"/>
        <c:crossAx val="35646092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[Manufacturing Downtime.xlsx]Analysis !PivotTable5</c:name>
    <c:fmtId val="28"/>
  </c:pivotSource>
  <c:chart>
    <c:autoTitleDeleted val="1"/>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rgbClr val="FF000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'Analysis '!$B$21</c:f>
              <c:strCache>
                <c:ptCount val="1"/>
                <c:pt idx="0">
                  <c:v>Total</c:v>
                </c:pt>
              </c:strCache>
            </c:strRef>
          </c:tx>
          <c:spPr>
            <a:ln w="28575" cap="rnd">
              <a:solidFill>
                <a:srgbClr val="FF0000"/>
              </a:solidFill>
              <a:round/>
            </a:ln>
            <a:effectLst/>
          </c:spPr>
          <c:marker>
            <c:symbol val="none"/>
          </c:marker>
          <c:cat>
            <c:strRef>
              <c:f>'Analysis '!$A$22:$A$27</c:f>
              <c:strCache>
                <c:ptCount val="5"/>
                <c:pt idx="0">
                  <c:v>29-08-2024</c:v>
                </c:pt>
                <c:pt idx="1">
                  <c:v>30-08-2024</c:v>
                </c:pt>
                <c:pt idx="2">
                  <c:v>31-08-2024</c:v>
                </c:pt>
                <c:pt idx="3">
                  <c:v>02-09-2024</c:v>
                </c:pt>
                <c:pt idx="4">
                  <c:v>03-09-2024</c:v>
                </c:pt>
              </c:strCache>
            </c:strRef>
          </c:cat>
          <c:val>
            <c:numRef>
              <c:f>'Analysis '!$B$22:$B$27</c:f>
              <c:numCache>
                <c:formatCode>General</c:formatCode>
                <c:ptCount val="5"/>
                <c:pt idx="0">
                  <c:v>244</c:v>
                </c:pt>
                <c:pt idx="1">
                  <c:v>444</c:v>
                </c:pt>
                <c:pt idx="2">
                  <c:v>165</c:v>
                </c:pt>
                <c:pt idx="3">
                  <c:v>503</c:v>
                </c:pt>
                <c:pt idx="4">
                  <c:v>32</c:v>
                </c:pt>
              </c:numCache>
            </c:numRef>
          </c:val>
          <c:smooth val="0"/>
          <c:extLst>
            <c:ext xmlns:c16="http://schemas.microsoft.com/office/drawing/2014/chart" uri="{C3380CC4-5D6E-409C-BE32-E72D297353CC}">
              <c16:uniqueId val="{00000006-80E1-44B9-818A-42A0DAA2CD22}"/>
            </c:ext>
          </c:extLst>
        </c:ser>
        <c:dLbls>
          <c:showLegendKey val="0"/>
          <c:showVal val="0"/>
          <c:showCatName val="0"/>
          <c:showSerName val="0"/>
          <c:showPercent val="0"/>
          <c:showBubbleSize val="0"/>
        </c:dLbls>
        <c:smooth val="0"/>
        <c:axId val="321521136"/>
        <c:axId val="211375696"/>
      </c:lineChart>
      <c:catAx>
        <c:axId val="321521136"/>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211375696"/>
        <c:crosses val="autoZero"/>
        <c:auto val="1"/>
        <c:lblAlgn val="ctr"/>
        <c:lblOffset val="100"/>
        <c:noMultiLvlLbl val="0"/>
      </c:catAx>
      <c:valAx>
        <c:axId val="211375696"/>
        <c:scaling>
          <c:orientation val="minMax"/>
        </c:scaling>
        <c:delete val="0"/>
        <c:axPos val="l"/>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32152113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[Manufacturing Downtime.xlsx]Analysis !PivotTable6</c:name>
    <c:fmtId val="8"/>
  </c:pivotSource>
  <c:chart>
    <c:autoTitleDeleted val="1"/>
    <c:pivotFmts>
      <c:pivotFmt>
        <c:idx val="0"/>
        <c:spPr>
          <a:solidFill>
            <a:srgbClr val="FF0000"/>
          </a:solidFill>
          <a:ln>
            <a:solidFill>
              <a:srgbClr val="FF0000"/>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FF0000"/>
          </a:solidFill>
          <a:ln>
            <a:solidFill>
              <a:srgbClr val="FF0000"/>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FF0000"/>
          </a:solidFill>
          <a:ln>
            <a:solidFill>
              <a:srgbClr val="FF0000"/>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'Analysis '!$B$30</c:f>
              <c:strCache>
                <c:ptCount val="1"/>
                <c:pt idx="0">
                  <c:v>Total</c:v>
                </c:pt>
              </c:strCache>
            </c:strRef>
          </c:tx>
          <c:spPr>
            <a:solidFill>
              <a:srgbClr val="FF0000"/>
            </a:solidFill>
            <a:ln>
              <a:solidFill>
                <a:srgbClr val="FF0000"/>
              </a:solid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 '!$A$31:$A$36</c:f>
              <c:strCache>
                <c:ptCount val="5"/>
                <c:pt idx="0">
                  <c:v>Cola</c:v>
                </c:pt>
                <c:pt idx="1">
                  <c:v>Diet Cola</c:v>
                </c:pt>
                <c:pt idx="2">
                  <c:v>Lemon lime</c:v>
                </c:pt>
                <c:pt idx="3">
                  <c:v>Orange</c:v>
                </c:pt>
                <c:pt idx="4">
                  <c:v>Root Beer</c:v>
                </c:pt>
              </c:strCache>
            </c:strRef>
          </c:cat>
          <c:val>
            <c:numRef>
              <c:f>'Analysis '!$B$31:$B$36</c:f>
              <c:numCache>
                <c:formatCode>General</c:formatCode>
                <c:ptCount val="5"/>
                <c:pt idx="0">
                  <c:v>771</c:v>
                </c:pt>
                <c:pt idx="1">
                  <c:v>115</c:v>
                </c:pt>
                <c:pt idx="2">
                  <c:v>169</c:v>
                </c:pt>
                <c:pt idx="3">
                  <c:v>75</c:v>
                </c:pt>
                <c:pt idx="4">
                  <c:v>258</c:v>
                </c:pt>
              </c:numCache>
            </c:numRef>
          </c:val>
          <c:extLst>
            <c:ext xmlns:c16="http://schemas.microsoft.com/office/drawing/2014/chart" uri="{C3380CC4-5D6E-409C-BE32-E72D297353CC}">
              <c16:uniqueId val="{00000007-D01E-420A-BD49-926103D0BAA5}"/>
            </c:ext>
          </c:extLst>
        </c:ser>
        <c:dLbls>
          <c:showLegendKey val="0"/>
          <c:showVal val="0"/>
          <c:showCatName val="0"/>
          <c:showSerName val="0"/>
          <c:showPercent val="0"/>
          <c:showBubbleSize val="0"/>
        </c:dLbls>
        <c:gapWidth val="150"/>
        <c:axId val="1339284192"/>
        <c:axId val="1319131536"/>
      </c:barChart>
      <c:catAx>
        <c:axId val="133928419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319131536"/>
        <c:crosses val="autoZero"/>
        <c:auto val="1"/>
        <c:lblAlgn val="ctr"/>
        <c:lblOffset val="100"/>
        <c:noMultiLvlLbl val="0"/>
      </c:catAx>
      <c:valAx>
        <c:axId val="1319131536"/>
        <c:scaling>
          <c:orientation val="minMax"/>
        </c:scaling>
        <c:delete val="1"/>
        <c:axPos val="l"/>
        <c:numFmt formatCode="General" sourceLinked="1"/>
        <c:majorTickMark val="none"/>
        <c:minorTickMark val="none"/>
        <c:tickLblPos val="nextTo"/>
        <c:crossAx val="133928419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[Manufacturing Downtime.xlsx]Analysis !PivotTable7</c:name>
    <c:fmtId val="9"/>
  </c:pivotSource>
  <c:chart>
    <c:autoTitleDeleted val="1"/>
    <c:pivotFmts>
      <c:pivotFmt>
        <c:idx val="0"/>
        <c:spPr>
          <a:solidFill>
            <a:srgbClr val="FF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FF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FF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'Analysis '!$B$39</c:f>
              <c:strCache>
                <c:ptCount val="1"/>
                <c:pt idx="0">
                  <c:v>Total</c:v>
                </c:pt>
              </c:strCache>
            </c:strRef>
          </c:tx>
          <c:spPr>
            <a:solidFill>
              <a:srgbClr val="FF00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 '!$A$40:$A$45</c:f>
              <c:strCache>
                <c:ptCount val="5"/>
                <c:pt idx="0">
                  <c:v>Batch change</c:v>
                </c:pt>
                <c:pt idx="1">
                  <c:v>Batch coding error</c:v>
                </c:pt>
                <c:pt idx="2">
                  <c:v>Inventory shortage</c:v>
                </c:pt>
                <c:pt idx="3">
                  <c:v>Machine adjustment</c:v>
                </c:pt>
                <c:pt idx="4">
                  <c:v>Machine failure</c:v>
                </c:pt>
              </c:strCache>
            </c:strRef>
          </c:cat>
          <c:val>
            <c:numRef>
              <c:f>'Analysis '!$B$40:$B$45</c:f>
              <c:numCache>
                <c:formatCode>General</c:formatCode>
                <c:ptCount val="5"/>
                <c:pt idx="0">
                  <c:v>160</c:v>
                </c:pt>
                <c:pt idx="1">
                  <c:v>145</c:v>
                </c:pt>
                <c:pt idx="2">
                  <c:v>225</c:v>
                </c:pt>
                <c:pt idx="3">
                  <c:v>332</c:v>
                </c:pt>
                <c:pt idx="4">
                  <c:v>254</c:v>
                </c:pt>
              </c:numCache>
            </c:numRef>
          </c:val>
          <c:extLst>
            <c:ext xmlns:c16="http://schemas.microsoft.com/office/drawing/2014/chart" uri="{C3380CC4-5D6E-409C-BE32-E72D297353CC}">
              <c16:uniqueId val="{00000007-501C-464C-B5E6-C3688B941FF1}"/>
            </c:ext>
          </c:extLst>
        </c:ser>
        <c:dLbls>
          <c:showLegendKey val="0"/>
          <c:showVal val="0"/>
          <c:showCatName val="0"/>
          <c:showSerName val="0"/>
          <c:showPercent val="0"/>
          <c:showBubbleSize val="0"/>
        </c:dLbls>
        <c:gapWidth val="182"/>
        <c:axId val="2081258928"/>
        <c:axId val="1319214576"/>
      </c:barChart>
      <c:catAx>
        <c:axId val="2081258928"/>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319214576"/>
        <c:crosses val="autoZero"/>
        <c:auto val="1"/>
        <c:lblAlgn val="ctr"/>
        <c:lblOffset val="100"/>
        <c:noMultiLvlLbl val="0"/>
      </c:catAx>
      <c:valAx>
        <c:axId val="1319214576"/>
        <c:scaling>
          <c:orientation val="minMax"/>
        </c:scaling>
        <c:delete val="1"/>
        <c:axPos val="b"/>
        <c:numFmt formatCode="General" sourceLinked="1"/>
        <c:majorTickMark val="out"/>
        <c:minorTickMark val="none"/>
        <c:tickLblPos val="nextTo"/>
        <c:crossAx val="208125892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[Manufacturing Downtime.xlsx]Analysis !PivotTable8</c:name>
    <c:fmtId val="15"/>
  </c:pivotSource>
  <c:chart>
    <c:autoTitleDeleted val="0"/>
    <c:pivotFmts>
      <c:pivotFmt>
        <c:idx val="0"/>
        <c:spPr>
          <a:solidFill>
            <a:schemeClr val="bg2"/>
          </a:solidFill>
          <a:ln>
            <a:solidFill>
              <a:schemeClr val="bg2">
                <a:lumMod val="90000"/>
              </a:schemeClr>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FF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bg2"/>
          </a:solidFill>
          <a:ln>
            <a:solidFill>
              <a:schemeClr val="bg2">
                <a:lumMod val="90000"/>
              </a:schemeClr>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FF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bg2"/>
          </a:solidFill>
          <a:ln>
            <a:solidFill>
              <a:schemeClr val="bg2">
                <a:lumMod val="90000"/>
              </a:schemeClr>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FF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'Analysis '!$B$48:$B$49</c:f>
              <c:strCache>
                <c:ptCount val="1"/>
                <c:pt idx="0">
                  <c:v>No</c:v>
                </c:pt>
              </c:strCache>
            </c:strRef>
          </c:tx>
          <c:spPr>
            <a:solidFill>
              <a:schemeClr val="bg2"/>
            </a:solidFill>
            <a:ln>
              <a:solidFill>
                <a:schemeClr val="bg2">
                  <a:lumMod val="90000"/>
                </a:schemeClr>
              </a:solid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 '!$A$50:$A$54</c:f>
              <c:strCache>
                <c:ptCount val="4"/>
                <c:pt idx="0">
                  <c:v>Charlie</c:v>
                </c:pt>
                <c:pt idx="1">
                  <c:v>Dee</c:v>
                </c:pt>
                <c:pt idx="2">
                  <c:v>Dennis</c:v>
                </c:pt>
                <c:pt idx="3">
                  <c:v>Mac</c:v>
                </c:pt>
              </c:strCache>
            </c:strRef>
          </c:cat>
          <c:val>
            <c:numRef>
              <c:f>'Analysis '!$B$50:$B$54</c:f>
              <c:numCache>
                <c:formatCode>General</c:formatCode>
                <c:ptCount val="4"/>
                <c:pt idx="0">
                  <c:v>156</c:v>
                </c:pt>
                <c:pt idx="1">
                  <c:v>178</c:v>
                </c:pt>
                <c:pt idx="2">
                  <c:v>138</c:v>
                </c:pt>
                <c:pt idx="3">
                  <c:v>140</c:v>
                </c:pt>
              </c:numCache>
            </c:numRef>
          </c:val>
          <c:extLst>
            <c:ext xmlns:c16="http://schemas.microsoft.com/office/drawing/2014/chart" uri="{C3380CC4-5D6E-409C-BE32-E72D297353CC}">
              <c16:uniqueId val="{00000000-967F-485C-A817-D03BE7928D36}"/>
            </c:ext>
          </c:extLst>
        </c:ser>
        <c:ser>
          <c:idx val="1"/>
          <c:order val="1"/>
          <c:tx>
            <c:strRef>
              <c:f>'Analysis '!$C$48:$C$49</c:f>
              <c:strCache>
                <c:ptCount val="1"/>
                <c:pt idx="0">
                  <c:v>Yes</c:v>
                </c:pt>
              </c:strCache>
            </c:strRef>
          </c:tx>
          <c:spPr>
            <a:solidFill>
              <a:srgbClr val="FF00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 '!$A$50:$A$54</c:f>
              <c:strCache>
                <c:ptCount val="4"/>
                <c:pt idx="0">
                  <c:v>Charlie</c:v>
                </c:pt>
                <c:pt idx="1">
                  <c:v>Dee</c:v>
                </c:pt>
                <c:pt idx="2">
                  <c:v>Dennis</c:v>
                </c:pt>
                <c:pt idx="3">
                  <c:v>Mac</c:v>
                </c:pt>
              </c:strCache>
            </c:strRef>
          </c:cat>
          <c:val>
            <c:numRef>
              <c:f>'Analysis '!$C$50:$C$54</c:f>
              <c:numCache>
                <c:formatCode>General</c:formatCode>
                <c:ptCount val="4"/>
                <c:pt idx="0">
                  <c:v>228</c:v>
                </c:pt>
                <c:pt idx="1">
                  <c:v>192</c:v>
                </c:pt>
                <c:pt idx="2">
                  <c:v>164</c:v>
                </c:pt>
                <c:pt idx="3">
                  <c:v>192</c:v>
                </c:pt>
              </c:numCache>
            </c:numRef>
          </c:val>
          <c:extLst>
            <c:ext xmlns:c16="http://schemas.microsoft.com/office/drawing/2014/chart" uri="{C3380CC4-5D6E-409C-BE32-E72D297353CC}">
              <c16:uniqueId val="{00000001-967F-485C-A817-D03BE7928D36}"/>
            </c:ext>
          </c:extLst>
        </c:ser>
        <c:dLbls>
          <c:dLblPos val="outEnd"/>
          <c:showLegendKey val="0"/>
          <c:showVal val="1"/>
          <c:showCatName val="0"/>
          <c:showSerName val="0"/>
          <c:showPercent val="0"/>
          <c:showBubbleSize val="0"/>
        </c:dLbls>
        <c:gapWidth val="219"/>
        <c:overlap val="-27"/>
        <c:axId val="356460927"/>
        <c:axId val="627259343"/>
      </c:barChart>
      <c:catAx>
        <c:axId val="35646092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27259343"/>
        <c:crosses val="autoZero"/>
        <c:auto val="1"/>
        <c:lblAlgn val="ctr"/>
        <c:lblOffset val="100"/>
        <c:noMultiLvlLbl val="0"/>
      </c:catAx>
      <c:valAx>
        <c:axId val="627259343"/>
        <c:scaling>
          <c:orientation val="minMax"/>
        </c:scaling>
        <c:delete val="1"/>
        <c:axPos val="l"/>
        <c:numFmt formatCode="General" sourceLinked="1"/>
        <c:majorTickMark val="none"/>
        <c:minorTickMark val="none"/>
        <c:tickLblPos val="nextTo"/>
        <c:crossAx val="35646092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7.xml"/><Relationship Id="rId2" Type="http://schemas.openxmlformats.org/officeDocument/2006/relationships/chart" Target="../charts/chart6.xml"/><Relationship Id="rId1" Type="http://schemas.openxmlformats.org/officeDocument/2006/relationships/chart" Target="../charts/chart5.xml"/><Relationship Id="rId4" Type="http://schemas.openxmlformats.org/officeDocument/2006/relationships/chart" Target="../charts/chart8.xml"/></Relationships>
</file>

<file path=xl/drawings/drawing1.xml><?xml version="1.0" encoding="utf-8"?>
<xdr:wsDr xmlns:xdr="http://schemas.openxmlformats.org/drawingml/2006/spreadsheetDrawing" xmlns:a="http://schemas.openxmlformats.org/drawingml/2006/main">
  <xdr:twoCellAnchor>
    <xdr:from>
      <xdr:col>3</xdr:col>
      <xdr:colOff>266700</xdr:colOff>
      <xdr:row>12</xdr:row>
      <xdr:rowOff>41910</xdr:rowOff>
    </xdr:from>
    <xdr:to>
      <xdr:col>10</xdr:col>
      <xdr:colOff>571500</xdr:colOff>
      <xdr:row>27</xdr:row>
      <xdr:rowOff>41910</xdr:rowOff>
    </xdr:to>
    <xdr:graphicFrame macro="">
      <xdr:nvGraphicFramePr>
        <xdr:cNvPr id="3" name="Chart 2">
          <a:extLst>
            <a:ext uri="{FF2B5EF4-FFF2-40B4-BE49-F238E27FC236}">
              <a16:creationId xmlns:a16="http://schemas.microsoft.com/office/drawing/2014/main" id="{FEA5AEDF-571E-3333-2232-ADBC1C271FA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281940</xdr:colOff>
      <xdr:row>28</xdr:row>
      <xdr:rowOff>41910</xdr:rowOff>
    </xdr:from>
    <xdr:to>
      <xdr:col>10</xdr:col>
      <xdr:colOff>586740</xdr:colOff>
      <xdr:row>43</xdr:row>
      <xdr:rowOff>41910</xdr:rowOff>
    </xdr:to>
    <xdr:graphicFrame macro="">
      <xdr:nvGraphicFramePr>
        <xdr:cNvPr id="2" name="Chart 1">
          <a:extLst>
            <a:ext uri="{FF2B5EF4-FFF2-40B4-BE49-F238E27FC236}">
              <a16:creationId xmlns:a16="http://schemas.microsoft.com/office/drawing/2014/main" id="{7034BE61-4CF6-BDEB-E325-F8FBD79055D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7</xdr:col>
      <xdr:colOff>289560</xdr:colOff>
      <xdr:row>45</xdr:row>
      <xdr:rowOff>125730</xdr:rowOff>
    </xdr:from>
    <xdr:to>
      <xdr:col>15</xdr:col>
      <xdr:colOff>114300</xdr:colOff>
      <xdr:row>60</xdr:row>
      <xdr:rowOff>125730</xdr:rowOff>
    </xdr:to>
    <xdr:graphicFrame macro="">
      <xdr:nvGraphicFramePr>
        <xdr:cNvPr id="4" name="Chart 3">
          <a:extLst>
            <a:ext uri="{FF2B5EF4-FFF2-40B4-BE49-F238E27FC236}">
              <a16:creationId xmlns:a16="http://schemas.microsoft.com/office/drawing/2014/main" id="{721610F2-1459-5F65-E28E-756CF6C7CFD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1013460</xdr:colOff>
      <xdr:row>55</xdr:row>
      <xdr:rowOff>41910</xdr:rowOff>
    </xdr:from>
    <xdr:to>
      <xdr:col>7</xdr:col>
      <xdr:colOff>281940</xdr:colOff>
      <xdr:row>70</xdr:row>
      <xdr:rowOff>41910</xdr:rowOff>
    </xdr:to>
    <xdr:graphicFrame macro="">
      <xdr:nvGraphicFramePr>
        <xdr:cNvPr id="5" name="Chart 4">
          <a:extLst>
            <a:ext uri="{FF2B5EF4-FFF2-40B4-BE49-F238E27FC236}">
              <a16:creationId xmlns:a16="http://schemas.microsoft.com/office/drawing/2014/main" id="{6D79B730-39AD-9965-5A1A-493D9244DB2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68580</xdr:colOff>
      <xdr:row>6</xdr:row>
      <xdr:rowOff>53340</xdr:rowOff>
    </xdr:from>
    <xdr:to>
      <xdr:col>4</xdr:col>
      <xdr:colOff>15240</xdr:colOff>
      <xdr:row>37</xdr:row>
      <xdr:rowOff>129540</xdr:rowOff>
    </xdr:to>
    <xdr:sp macro="" textlink="">
      <xdr:nvSpPr>
        <xdr:cNvPr id="3" name="Rectangle: Rounded Corners 2">
          <a:extLst>
            <a:ext uri="{FF2B5EF4-FFF2-40B4-BE49-F238E27FC236}">
              <a16:creationId xmlns:a16="http://schemas.microsoft.com/office/drawing/2014/main" id="{B6595A6A-388A-BE65-B45C-8923FA59A13B}"/>
            </a:ext>
          </a:extLst>
        </xdr:cNvPr>
        <xdr:cNvSpPr/>
      </xdr:nvSpPr>
      <xdr:spPr>
        <a:xfrm>
          <a:off x="68580" y="1150620"/>
          <a:ext cx="2385060" cy="5745480"/>
        </a:xfrm>
        <a:prstGeom prst="roundRect">
          <a:avLst/>
        </a:prstGeom>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t"/>
        <a:lstStyle/>
        <a:p>
          <a:pPr algn="l"/>
          <a:endParaRPr lang="en-IN" sz="1100"/>
        </a:p>
      </xdr:txBody>
    </xdr:sp>
    <xdr:clientData/>
  </xdr:twoCellAnchor>
  <xdr:twoCellAnchor>
    <xdr:from>
      <xdr:col>4</xdr:col>
      <xdr:colOff>152400</xdr:colOff>
      <xdr:row>6</xdr:row>
      <xdr:rowOff>91440</xdr:rowOff>
    </xdr:from>
    <xdr:to>
      <xdr:col>8</xdr:col>
      <xdr:colOff>99060</xdr:colOff>
      <xdr:row>11</xdr:row>
      <xdr:rowOff>144780</xdr:rowOff>
    </xdr:to>
    <xdr:sp macro="" textlink="">
      <xdr:nvSpPr>
        <xdr:cNvPr id="4" name="Rectangle: Rounded Corners 3">
          <a:extLst>
            <a:ext uri="{FF2B5EF4-FFF2-40B4-BE49-F238E27FC236}">
              <a16:creationId xmlns:a16="http://schemas.microsoft.com/office/drawing/2014/main" id="{A59331D7-3E98-4F5D-BF75-ED8ED31A3E71}"/>
            </a:ext>
          </a:extLst>
        </xdr:cNvPr>
        <xdr:cNvSpPr/>
      </xdr:nvSpPr>
      <xdr:spPr>
        <a:xfrm>
          <a:off x="2590800" y="1188720"/>
          <a:ext cx="2385060" cy="967740"/>
        </a:xfrm>
        <a:prstGeom prst="roundRect">
          <a:avLst/>
        </a:prstGeom>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t"/>
        <a:lstStyle/>
        <a:p>
          <a:pPr algn="l"/>
          <a:endParaRPr lang="en-IN" sz="1100"/>
        </a:p>
      </xdr:txBody>
    </xdr:sp>
    <xdr:clientData/>
  </xdr:twoCellAnchor>
  <xdr:twoCellAnchor>
    <xdr:from>
      <xdr:col>12</xdr:col>
      <xdr:colOff>365760</xdr:colOff>
      <xdr:row>6</xdr:row>
      <xdr:rowOff>99060</xdr:rowOff>
    </xdr:from>
    <xdr:to>
      <xdr:col>16</xdr:col>
      <xdr:colOff>312420</xdr:colOff>
      <xdr:row>11</xdr:row>
      <xdr:rowOff>152400</xdr:rowOff>
    </xdr:to>
    <xdr:sp macro="" textlink="">
      <xdr:nvSpPr>
        <xdr:cNvPr id="5" name="Rectangle: Rounded Corners 4">
          <a:extLst>
            <a:ext uri="{FF2B5EF4-FFF2-40B4-BE49-F238E27FC236}">
              <a16:creationId xmlns:a16="http://schemas.microsoft.com/office/drawing/2014/main" id="{1DE3BC4A-2DD8-459C-8D0D-E836852A3652}"/>
            </a:ext>
          </a:extLst>
        </xdr:cNvPr>
        <xdr:cNvSpPr/>
      </xdr:nvSpPr>
      <xdr:spPr>
        <a:xfrm>
          <a:off x="7680960" y="1196340"/>
          <a:ext cx="2385060" cy="967740"/>
        </a:xfrm>
        <a:prstGeom prst="roundRect">
          <a:avLst/>
        </a:prstGeom>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t"/>
        <a:lstStyle/>
        <a:p>
          <a:pPr algn="l"/>
          <a:endParaRPr lang="en-IN" sz="1100"/>
        </a:p>
      </xdr:txBody>
    </xdr:sp>
    <xdr:clientData/>
  </xdr:twoCellAnchor>
  <xdr:twoCellAnchor>
    <xdr:from>
      <xdr:col>8</xdr:col>
      <xdr:colOff>259080</xdr:colOff>
      <xdr:row>6</xdr:row>
      <xdr:rowOff>99060</xdr:rowOff>
    </xdr:from>
    <xdr:to>
      <xdr:col>12</xdr:col>
      <xdr:colOff>205740</xdr:colOff>
      <xdr:row>11</xdr:row>
      <xdr:rowOff>152400</xdr:rowOff>
    </xdr:to>
    <xdr:sp macro="" textlink="">
      <xdr:nvSpPr>
        <xdr:cNvPr id="6" name="Rectangle: Rounded Corners 5">
          <a:extLst>
            <a:ext uri="{FF2B5EF4-FFF2-40B4-BE49-F238E27FC236}">
              <a16:creationId xmlns:a16="http://schemas.microsoft.com/office/drawing/2014/main" id="{B2BC1942-F6C3-4018-AD14-EB88F8156545}"/>
            </a:ext>
          </a:extLst>
        </xdr:cNvPr>
        <xdr:cNvSpPr/>
      </xdr:nvSpPr>
      <xdr:spPr>
        <a:xfrm>
          <a:off x="5135880" y="1196340"/>
          <a:ext cx="2385060" cy="967740"/>
        </a:xfrm>
        <a:prstGeom prst="roundRect">
          <a:avLst/>
        </a:prstGeom>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83820</xdr:colOff>
      <xdr:row>0</xdr:row>
      <xdr:rowOff>83820</xdr:rowOff>
    </xdr:from>
    <xdr:to>
      <xdr:col>16</xdr:col>
      <xdr:colOff>281940</xdr:colOff>
      <xdr:row>5</xdr:row>
      <xdr:rowOff>91440</xdr:rowOff>
    </xdr:to>
    <xdr:sp macro="" textlink="">
      <xdr:nvSpPr>
        <xdr:cNvPr id="7" name="Rectangle: Rounded Corners 6">
          <a:extLst>
            <a:ext uri="{FF2B5EF4-FFF2-40B4-BE49-F238E27FC236}">
              <a16:creationId xmlns:a16="http://schemas.microsoft.com/office/drawing/2014/main" id="{14452312-0B93-45B2-A2E7-26ED4B73A690}"/>
            </a:ext>
          </a:extLst>
        </xdr:cNvPr>
        <xdr:cNvSpPr/>
      </xdr:nvSpPr>
      <xdr:spPr>
        <a:xfrm>
          <a:off x="83820" y="83820"/>
          <a:ext cx="9951720" cy="922020"/>
        </a:xfrm>
        <a:prstGeom prst="roundRect">
          <a:avLst/>
        </a:prstGeom>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ctr"/>
        <a:lstStyle/>
        <a:p>
          <a:pPr algn="l"/>
          <a:r>
            <a:rPr lang="en-IN" sz="2800" b="1"/>
            <a:t>Manufacturing Downtime </a:t>
          </a:r>
        </a:p>
      </xdr:txBody>
    </xdr:sp>
    <xdr:clientData/>
  </xdr:twoCellAnchor>
  <xdr:twoCellAnchor>
    <xdr:from>
      <xdr:col>4</xdr:col>
      <xdr:colOff>144780</xdr:colOff>
      <xdr:row>12</xdr:row>
      <xdr:rowOff>144780</xdr:rowOff>
    </xdr:from>
    <xdr:to>
      <xdr:col>10</xdr:col>
      <xdr:colOff>213360</xdr:colOff>
      <xdr:row>26</xdr:row>
      <xdr:rowOff>152400</xdr:rowOff>
    </xdr:to>
    <xdr:sp macro="" textlink="">
      <xdr:nvSpPr>
        <xdr:cNvPr id="11" name="Rectangle: Rounded Corners 10">
          <a:extLst>
            <a:ext uri="{FF2B5EF4-FFF2-40B4-BE49-F238E27FC236}">
              <a16:creationId xmlns:a16="http://schemas.microsoft.com/office/drawing/2014/main" id="{960B2F74-B97A-4D1F-99CF-04CB05162928}"/>
            </a:ext>
          </a:extLst>
        </xdr:cNvPr>
        <xdr:cNvSpPr/>
      </xdr:nvSpPr>
      <xdr:spPr>
        <a:xfrm>
          <a:off x="2583180" y="2339340"/>
          <a:ext cx="3726180" cy="2567940"/>
        </a:xfrm>
        <a:prstGeom prst="roundRect">
          <a:avLst/>
        </a:prstGeom>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t"/>
        <a:lstStyle/>
        <a:p>
          <a:pPr algn="l"/>
          <a:r>
            <a:rPr lang="en-IN" sz="1400"/>
            <a:t>Total Downtime </a:t>
          </a:r>
        </a:p>
      </xdr:txBody>
    </xdr:sp>
    <xdr:clientData/>
  </xdr:twoCellAnchor>
  <xdr:twoCellAnchor>
    <xdr:from>
      <xdr:col>4</xdr:col>
      <xdr:colOff>175260</xdr:colOff>
      <xdr:row>15</xdr:row>
      <xdr:rowOff>106680</xdr:rowOff>
    </xdr:from>
    <xdr:to>
      <xdr:col>10</xdr:col>
      <xdr:colOff>205740</xdr:colOff>
      <xdr:row>26</xdr:row>
      <xdr:rowOff>30480</xdr:rowOff>
    </xdr:to>
    <xdr:graphicFrame macro="">
      <xdr:nvGraphicFramePr>
        <xdr:cNvPr id="14" name="Chart 13">
          <a:extLst>
            <a:ext uri="{FF2B5EF4-FFF2-40B4-BE49-F238E27FC236}">
              <a16:creationId xmlns:a16="http://schemas.microsoft.com/office/drawing/2014/main" id="{AD89632D-25FA-4F6A-A51C-C201E359990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0</xdr:col>
      <xdr:colOff>274320</xdr:colOff>
      <xdr:row>7</xdr:row>
      <xdr:rowOff>121920</xdr:rowOff>
    </xdr:from>
    <xdr:to>
      <xdr:col>3</xdr:col>
      <xdr:colOff>396240</xdr:colOff>
      <xdr:row>15</xdr:row>
      <xdr:rowOff>144780</xdr:rowOff>
    </xdr:to>
    <mc:AlternateContent xmlns:mc="http://schemas.openxmlformats.org/markup-compatibility/2006" xmlns:tsle="http://schemas.microsoft.com/office/drawing/2012/timeslicer">
      <mc:Choice Requires="tsle">
        <xdr:graphicFrame macro="">
          <xdr:nvGraphicFramePr>
            <xdr:cNvPr id="16" name="Date">
              <a:extLst>
                <a:ext uri="{FF2B5EF4-FFF2-40B4-BE49-F238E27FC236}">
                  <a16:creationId xmlns:a16="http://schemas.microsoft.com/office/drawing/2014/main" id="{12991FF7-2877-9D0B-4C92-48748F4A9DCA}"/>
                </a:ext>
              </a:extLst>
            </xdr:cNvPr>
            <xdr:cNvGraphicFramePr/>
          </xdr:nvGraphicFramePr>
          <xdr:xfrm>
            <a:off x="0" y="0"/>
            <a:ext cx="0" cy="0"/>
          </xdr:xfrm>
          <a:graphic>
            <a:graphicData uri="http://schemas.microsoft.com/office/drawing/2012/timeslicer">
              <tsle:timeslicer name="Date"/>
            </a:graphicData>
          </a:graphic>
        </xdr:graphicFrame>
      </mc:Choice>
      <mc:Fallback xmlns="">
        <xdr:sp macro="" textlink="">
          <xdr:nvSpPr>
            <xdr:cNvPr id="0" name=""/>
            <xdr:cNvSpPr>
              <a:spLocks noTextEdit="1"/>
            </xdr:cNvSpPr>
          </xdr:nvSpPr>
          <xdr:spPr>
            <a:xfrm>
              <a:off x="274320" y="1402080"/>
              <a:ext cx="1950720" cy="1577340"/>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twoCellAnchor editAs="oneCell">
    <xdr:from>
      <xdr:col>0</xdr:col>
      <xdr:colOff>251460</xdr:colOff>
      <xdr:row>25</xdr:row>
      <xdr:rowOff>68581</xdr:rowOff>
    </xdr:from>
    <xdr:to>
      <xdr:col>3</xdr:col>
      <xdr:colOff>312420</xdr:colOff>
      <xdr:row>37</xdr:row>
      <xdr:rowOff>7621</xdr:rowOff>
    </xdr:to>
    <mc:AlternateContent xmlns:mc="http://schemas.openxmlformats.org/markup-compatibility/2006" xmlns:a14="http://schemas.microsoft.com/office/drawing/2010/main">
      <mc:Choice Requires="a14">
        <xdr:graphicFrame macro="">
          <xdr:nvGraphicFramePr>
            <xdr:cNvPr id="2" name="Description">
              <a:extLst>
                <a:ext uri="{FF2B5EF4-FFF2-40B4-BE49-F238E27FC236}">
                  <a16:creationId xmlns:a16="http://schemas.microsoft.com/office/drawing/2014/main" id="{AD73926A-C61C-E9D2-F8DB-59F82C8A3469}"/>
                </a:ext>
              </a:extLst>
            </xdr:cNvPr>
            <xdr:cNvGraphicFramePr/>
          </xdr:nvGraphicFramePr>
          <xdr:xfrm>
            <a:off x="0" y="0"/>
            <a:ext cx="0" cy="0"/>
          </xdr:xfrm>
          <a:graphic>
            <a:graphicData uri="http://schemas.microsoft.com/office/drawing/2010/slicer">
              <sle:slicer xmlns:sle="http://schemas.microsoft.com/office/drawing/2010/slicer" name="Description"/>
            </a:graphicData>
          </a:graphic>
        </xdr:graphicFrame>
      </mc:Choice>
      <mc:Fallback xmlns="">
        <xdr:sp macro="" textlink="">
          <xdr:nvSpPr>
            <xdr:cNvPr id="0" name=""/>
            <xdr:cNvSpPr>
              <a:spLocks noTextEdit="1"/>
            </xdr:cNvSpPr>
          </xdr:nvSpPr>
          <xdr:spPr>
            <a:xfrm>
              <a:off x="251460" y="4640581"/>
              <a:ext cx="1889760" cy="21336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274320</xdr:colOff>
      <xdr:row>16</xdr:row>
      <xdr:rowOff>60961</xdr:rowOff>
    </xdr:from>
    <xdr:to>
      <xdr:col>3</xdr:col>
      <xdr:colOff>335280</xdr:colOff>
      <xdr:row>24</xdr:row>
      <xdr:rowOff>129540</xdr:rowOff>
    </xdr:to>
    <mc:AlternateContent xmlns:mc="http://schemas.openxmlformats.org/markup-compatibility/2006" xmlns:a14="http://schemas.microsoft.com/office/drawing/2010/main">
      <mc:Choice Requires="a14">
        <xdr:graphicFrame macro="">
          <xdr:nvGraphicFramePr>
            <xdr:cNvPr id="12" name="Operator">
              <a:extLst>
                <a:ext uri="{FF2B5EF4-FFF2-40B4-BE49-F238E27FC236}">
                  <a16:creationId xmlns:a16="http://schemas.microsoft.com/office/drawing/2014/main" id="{4DC888E6-B8F3-AA4A-B383-934D66F08838}"/>
                </a:ext>
              </a:extLst>
            </xdr:cNvPr>
            <xdr:cNvGraphicFramePr/>
          </xdr:nvGraphicFramePr>
          <xdr:xfrm>
            <a:off x="0" y="0"/>
            <a:ext cx="0" cy="0"/>
          </xdr:xfrm>
          <a:graphic>
            <a:graphicData uri="http://schemas.microsoft.com/office/drawing/2010/slicer">
              <sle:slicer xmlns:sle="http://schemas.microsoft.com/office/drawing/2010/slicer" name="Operator"/>
            </a:graphicData>
          </a:graphic>
        </xdr:graphicFrame>
      </mc:Choice>
      <mc:Fallback xmlns="">
        <xdr:sp macro="" textlink="">
          <xdr:nvSpPr>
            <xdr:cNvPr id="0" name=""/>
            <xdr:cNvSpPr>
              <a:spLocks noTextEdit="1"/>
            </xdr:cNvSpPr>
          </xdr:nvSpPr>
          <xdr:spPr>
            <a:xfrm>
              <a:off x="274320" y="2987041"/>
              <a:ext cx="1889760" cy="153161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4</xdr:col>
      <xdr:colOff>182880</xdr:colOff>
      <xdr:row>27</xdr:row>
      <xdr:rowOff>83820</xdr:rowOff>
    </xdr:from>
    <xdr:to>
      <xdr:col>10</xdr:col>
      <xdr:colOff>198120</xdr:colOff>
      <xdr:row>37</xdr:row>
      <xdr:rowOff>114300</xdr:rowOff>
    </xdr:to>
    <xdr:sp macro="" textlink="">
      <xdr:nvSpPr>
        <xdr:cNvPr id="13" name="Rectangle: Rounded Corners 12">
          <a:extLst>
            <a:ext uri="{FF2B5EF4-FFF2-40B4-BE49-F238E27FC236}">
              <a16:creationId xmlns:a16="http://schemas.microsoft.com/office/drawing/2014/main" id="{406CD13C-7ED7-4CD3-B305-2062D9D346D3}"/>
            </a:ext>
          </a:extLst>
        </xdr:cNvPr>
        <xdr:cNvSpPr/>
      </xdr:nvSpPr>
      <xdr:spPr>
        <a:xfrm>
          <a:off x="2621280" y="5021580"/>
          <a:ext cx="3672840" cy="1859280"/>
        </a:xfrm>
        <a:prstGeom prst="roundRect">
          <a:avLst/>
        </a:prstGeom>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t"/>
        <a:lstStyle/>
        <a:p>
          <a:pPr algn="l"/>
          <a:r>
            <a:rPr lang="en-IN" sz="1400"/>
            <a:t>Downtime by Flavour</a:t>
          </a:r>
        </a:p>
      </xdr:txBody>
    </xdr:sp>
    <xdr:clientData/>
  </xdr:twoCellAnchor>
  <xdr:twoCellAnchor>
    <xdr:from>
      <xdr:col>10</xdr:col>
      <xdr:colOff>358140</xdr:colOff>
      <xdr:row>27</xdr:row>
      <xdr:rowOff>91440</xdr:rowOff>
    </xdr:from>
    <xdr:to>
      <xdr:col>16</xdr:col>
      <xdr:colOff>342900</xdr:colOff>
      <xdr:row>37</xdr:row>
      <xdr:rowOff>121920</xdr:rowOff>
    </xdr:to>
    <xdr:sp macro="" textlink="">
      <xdr:nvSpPr>
        <xdr:cNvPr id="15" name="Rectangle: Rounded Corners 14">
          <a:extLst>
            <a:ext uri="{FF2B5EF4-FFF2-40B4-BE49-F238E27FC236}">
              <a16:creationId xmlns:a16="http://schemas.microsoft.com/office/drawing/2014/main" id="{6CF03169-F116-49E3-9EF8-548AA2162404}"/>
            </a:ext>
          </a:extLst>
        </xdr:cNvPr>
        <xdr:cNvSpPr/>
      </xdr:nvSpPr>
      <xdr:spPr>
        <a:xfrm>
          <a:off x="6454140" y="5029200"/>
          <a:ext cx="3642360" cy="1859280"/>
        </a:xfrm>
        <a:prstGeom prst="roundRect">
          <a:avLst/>
        </a:prstGeom>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t"/>
        <a:lstStyle/>
        <a:p>
          <a:pPr algn="l"/>
          <a:r>
            <a:rPr lang="en-IN" sz="1400"/>
            <a:t>Downtime by Description</a:t>
          </a:r>
        </a:p>
      </xdr:txBody>
    </xdr:sp>
    <xdr:clientData/>
  </xdr:twoCellAnchor>
  <xdr:twoCellAnchor>
    <xdr:from>
      <xdr:col>4</xdr:col>
      <xdr:colOff>304800</xdr:colOff>
      <xdr:row>29</xdr:row>
      <xdr:rowOff>68580</xdr:rowOff>
    </xdr:from>
    <xdr:to>
      <xdr:col>10</xdr:col>
      <xdr:colOff>7620</xdr:colOff>
      <xdr:row>37</xdr:row>
      <xdr:rowOff>114300</xdr:rowOff>
    </xdr:to>
    <xdr:graphicFrame macro="">
      <xdr:nvGraphicFramePr>
        <xdr:cNvPr id="18" name="Chart 17">
          <a:extLst>
            <a:ext uri="{FF2B5EF4-FFF2-40B4-BE49-F238E27FC236}">
              <a16:creationId xmlns:a16="http://schemas.microsoft.com/office/drawing/2014/main" id="{D7522250-72C9-48A1-932A-B54A806B396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10</xdr:col>
      <xdr:colOff>472440</xdr:colOff>
      <xdr:row>29</xdr:row>
      <xdr:rowOff>152400</xdr:rowOff>
    </xdr:from>
    <xdr:to>
      <xdr:col>16</xdr:col>
      <xdr:colOff>160020</xdr:colOff>
      <xdr:row>38</xdr:row>
      <xdr:rowOff>45720</xdr:rowOff>
    </xdr:to>
    <xdr:graphicFrame macro="">
      <xdr:nvGraphicFramePr>
        <xdr:cNvPr id="20" name="Chart 19">
          <a:extLst>
            <a:ext uri="{FF2B5EF4-FFF2-40B4-BE49-F238E27FC236}">
              <a16:creationId xmlns:a16="http://schemas.microsoft.com/office/drawing/2014/main" id="{F811FFA8-44F9-438E-91FF-B4386745852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5</xdr:col>
      <xdr:colOff>106680</xdr:colOff>
      <xdr:row>7</xdr:row>
      <xdr:rowOff>30480</xdr:rowOff>
    </xdr:from>
    <xdr:to>
      <xdr:col>6</xdr:col>
      <xdr:colOff>594360</xdr:colOff>
      <xdr:row>9</xdr:row>
      <xdr:rowOff>83820</xdr:rowOff>
    </xdr:to>
    <xdr:sp macro="" textlink="'Analysis '!C2">
      <xdr:nvSpPr>
        <xdr:cNvPr id="21" name="TextBox 20">
          <a:extLst>
            <a:ext uri="{FF2B5EF4-FFF2-40B4-BE49-F238E27FC236}">
              <a16:creationId xmlns:a16="http://schemas.microsoft.com/office/drawing/2014/main" id="{518CF029-E3F3-CB0F-C1A7-E8FDAE2E2210}"/>
            </a:ext>
          </a:extLst>
        </xdr:cNvPr>
        <xdr:cNvSpPr txBox="1"/>
      </xdr:nvSpPr>
      <xdr:spPr>
        <a:xfrm>
          <a:off x="3154680" y="1310640"/>
          <a:ext cx="1097280" cy="4191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6D13CD7B-8E85-468E-9FAF-5E1F369B687D}" type="TxLink">
            <a:rPr lang="en-US" sz="2000" b="0" i="0" u="none" strike="noStrike">
              <a:solidFill>
                <a:schemeClr val="bg1"/>
              </a:solidFill>
              <a:latin typeface="Calibri"/>
              <a:ea typeface="Calibri"/>
              <a:cs typeface="Calibri"/>
            </a:rPr>
            <a:pPr algn="ctr"/>
            <a:t>4</a:t>
          </a:fld>
          <a:endParaRPr lang="en-IN" sz="2000">
            <a:solidFill>
              <a:schemeClr val="bg1"/>
            </a:solidFill>
          </a:endParaRPr>
        </a:p>
      </xdr:txBody>
    </xdr:sp>
    <xdr:clientData/>
  </xdr:twoCellAnchor>
  <xdr:twoCellAnchor>
    <xdr:from>
      <xdr:col>13</xdr:col>
      <xdr:colOff>457200</xdr:colOff>
      <xdr:row>7</xdr:row>
      <xdr:rowOff>91440</xdr:rowOff>
    </xdr:from>
    <xdr:to>
      <xdr:col>15</xdr:col>
      <xdr:colOff>335280</xdr:colOff>
      <xdr:row>9</xdr:row>
      <xdr:rowOff>144780</xdr:rowOff>
    </xdr:to>
    <xdr:sp macro="" textlink="'Analysis '!C8">
      <xdr:nvSpPr>
        <xdr:cNvPr id="22" name="TextBox 21">
          <a:extLst>
            <a:ext uri="{FF2B5EF4-FFF2-40B4-BE49-F238E27FC236}">
              <a16:creationId xmlns:a16="http://schemas.microsoft.com/office/drawing/2014/main" id="{A33069F4-2CB8-470E-9B2E-F2A56B6D45BF}"/>
            </a:ext>
          </a:extLst>
        </xdr:cNvPr>
        <xdr:cNvSpPr txBox="1"/>
      </xdr:nvSpPr>
      <xdr:spPr>
        <a:xfrm>
          <a:off x="8382000" y="1371600"/>
          <a:ext cx="1097280" cy="4191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fld id="{94FEA0A3-EF79-4475-B7EE-3EC82B8480C2}" type="TxLink">
            <a:rPr lang="en-US" sz="2000" b="0" i="0" u="none" strike="noStrike">
              <a:solidFill>
                <a:schemeClr val="bg1"/>
              </a:solidFill>
              <a:latin typeface="Calibri"/>
              <a:ea typeface="Calibri"/>
              <a:cs typeface="Calibri"/>
            </a:rPr>
            <a:pPr marL="0" indent="0" algn="ctr"/>
            <a:t>1388</a:t>
          </a:fld>
          <a:endParaRPr lang="en-IN" sz="2000" b="0" i="0" u="none" strike="noStrike">
            <a:solidFill>
              <a:schemeClr val="bg1"/>
            </a:solidFill>
            <a:latin typeface="Calibri"/>
            <a:ea typeface="Calibri"/>
            <a:cs typeface="Calibri"/>
          </a:endParaRPr>
        </a:p>
      </xdr:txBody>
    </xdr:sp>
    <xdr:clientData/>
  </xdr:twoCellAnchor>
  <xdr:twoCellAnchor>
    <xdr:from>
      <xdr:col>9</xdr:col>
      <xdr:colOff>281940</xdr:colOff>
      <xdr:row>7</xdr:row>
      <xdr:rowOff>68580</xdr:rowOff>
    </xdr:from>
    <xdr:to>
      <xdr:col>11</xdr:col>
      <xdr:colOff>160020</xdr:colOff>
      <xdr:row>9</xdr:row>
      <xdr:rowOff>121920</xdr:rowOff>
    </xdr:to>
    <xdr:sp macro="" textlink="'Analysis '!C5">
      <xdr:nvSpPr>
        <xdr:cNvPr id="23" name="TextBox 22">
          <a:extLst>
            <a:ext uri="{FF2B5EF4-FFF2-40B4-BE49-F238E27FC236}">
              <a16:creationId xmlns:a16="http://schemas.microsoft.com/office/drawing/2014/main" id="{A46D8945-11A5-4B40-8036-CABCA30F856F}"/>
            </a:ext>
          </a:extLst>
        </xdr:cNvPr>
        <xdr:cNvSpPr txBox="1"/>
      </xdr:nvSpPr>
      <xdr:spPr>
        <a:xfrm>
          <a:off x="5768340" y="1348740"/>
          <a:ext cx="1097280" cy="4191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fld id="{228168F0-7824-46C7-93EB-7F5F612FEC2F}" type="TxLink">
            <a:rPr lang="en-US" sz="2000" b="0" i="0" u="none" strike="noStrike">
              <a:solidFill>
                <a:schemeClr val="bg1"/>
              </a:solidFill>
              <a:latin typeface="Calibri"/>
              <a:ea typeface="Calibri"/>
              <a:cs typeface="Calibri"/>
            </a:rPr>
            <a:pPr marL="0" indent="0" algn="ctr"/>
            <a:t>38</a:t>
          </a:fld>
          <a:endParaRPr lang="en-IN" sz="2000" b="0" i="0" u="none" strike="noStrike">
            <a:solidFill>
              <a:schemeClr val="bg1"/>
            </a:solidFill>
            <a:latin typeface="Calibri"/>
            <a:ea typeface="Calibri"/>
            <a:cs typeface="Calibri"/>
          </a:endParaRPr>
        </a:p>
      </xdr:txBody>
    </xdr:sp>
    <xdr:clientData/>
  </xdr:twoCellAnchor>
  <xdr:twoCellAnchor>
    <xdr:from>
      <xdr:col>4</xdr:col>
      <xdr:colOff>502920</xdr:colOff>
      <xdr:row>9</xdr:row>
      <xdr:rowOff>152400</xdr:rowOff>
    </xdr:from>
    <xdr:to>
      <xdr:col>7</xdr:col>
      <xdr:colOff>228600</xdr:colOff>
      <xdr:row>11</xdr:row>
      <xdr:rowOff>68580</xdr:rowOff>
    </xdr:to>
    <xdr:sp macro="" textlink="">
      <xdr:nvSpPr>
        <xdr:cNvPr id="24" name="TextBox 23">
          <a:extLst>
            <a:ext uri="{FF2B5EF4-FFF2-40B4-BE49-F238E27FC236}">
              <a16:creationId xmlns:a16="http://schemas.microsoft.com/office/drawing/2014/main" id="{87389198-F6AD-B2C2-FC7A-7F4C7826E221}"/>
            </a:ext>
          </a:extLst>
        </xdr:cNvPr>
        <xdr:cNvSpPr txBox="1"/>
      </xdr:nvSpPr>
      <xdr:spPr>
        <a:xfrm>
          <a:off x="2941320" y="1798320"/>
          <a:ext cx="1554480" cy="2819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100">
              <a:solidFill>
                <a:schemeClr val="bg1"/>
              </a:solidFill>
            </a:rPr>
            <a:t>Total Operators</a:t>
          </a:r>
        </a:p>
      </xdr:txBody>
    </xdr:sp>
    <xdr:clientData/>
  </xdr:twoCellAnchor>
  <xdr:twoCellAnchor>
    <xdr:from>
      <xdr:col>9</xdr:col>
      <xdr:colOff>41910</xdr:colOff>
      <xdr:row>9</xdr:row>
      <xdr:rowOff>160020</xdr:rowOff>
    </xdr:from>
    <xdr:to>
      <xdr:col>11</xdr:col>
      <xdr:colOff>377190</xdr:colOff>
      <xdr:row>11</xdr:row>
      <xdr:rowOff>76200</xdr:rowOff>
    </xdr:to>
    <xdr:sp macro="" textlink="">
      <xdr:nvSpPr>
        <xdr:cNvPr id="31" name="TextBox 30">
          <a:extLst>
            <a:ext uri="{FF2B5EF4-FFF2-40B4-BE49-F238E27FC236}">
              <a16:creationId xmlns:a16="http://schemas.microsoft.com/office/drawing/2014/main" id="{B4C311BE-8A75-4BC9-AFA0-E0874E2F7C0C}"/>
            </a:ext>
          </a:extLst>
        </xdr:cNvPr>
        <xdr:cNvSpPr txBox="1"/>
      </xdr:nvSpPr>
      <xdr:spPr>
        <a:xfrm>
          <a:off x="5528310" y="1805940"/>
          <a:ext cx="1554480" cy="2819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100">
              <a:solidFill>
                <a:schemeClr val="bg1"/>
              </a:solidFill>
            </a:rPr>
            <a:t>Total</a:t>
          </a:r>
          <a:r>
            <a:rPr lang="en-IN" sz="1100" baseline="0">
              <a:solidFill>
                <a:schemeClr val="bg1"/>
              </a:solidFill>
            </a:rPr>
            <a:t> Batches</a:t>
          </a:r>
          <a:endParaRPr lang="en-IN" sz="1100">
            <a:solidFill>
              <a:schemeClr val="bg1"/>
            </a:solidFill>
          </a:endParaRPr>
        </a:p>
      </xdr:txBody>
    </xdr:sp>
    <xdr:clientData/>
  </xdr:twoCellAnchor>
  <xdr:twoCellAnchor>
    <xdr:from>
      <xdr:col>13</xdr:col>
      <xdr:colOff>190500</xdr:colOff>
      <xdr:row>9</xdr:row>
      <xdr:rowOff>175260</xdr:rowOff>
    </xdr:from>
    <xdr:to>
      <xdr:col>15</xdr:col>
      <xdr:colOff>525780</xdr:colOff>
      <xdr:row>11</xdr:row>
      <xdr:rowOff>91440</xdr:rowOff>
    </xdr:to>
    <xdr:sp macro="" textlink="">
      <xdr:nvSpPr>
        <xdr:cNvPr id="32" name="TextBox 31">
          <a:extLst>
            <a:ext uri="{FF2B5EF4-FFF2-40B4-BE49-F238E27FC236}">
              <a16:creationId xmlns:a16="http://schemas.microsoft.com/office/drawing/2014/main" id="{32A7F1C0-18A2-4F57-B4AF-EC767ECCDF11}"/>
            </a:ext>
          </a:extLst>
        </xdr:cNvPr>
        <xdr:cNvSpPr txBox="1"/>
      </xdr:nvSpPr>
      <xdr:spPr>
        <a:xfrm>
          <a:off x="8115300" y="1821180"/>
          <a:ext cx="1554480" cy="2819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100">
              <a:solidFill>
                <a:schemeClr val="bg1"/>
              </a:solidFill>
            </a:rPr>
            <a:t>Total</a:t>
          </a:r>
          <a:r>
            <a:rPr lang="en-IN" sz="1100" baseline="0">
              <a:solidFill>
                <a:schemeClr val="bg1"/>
              </a:solidFill>
            </a:rPr>
            <a:t> DownTime</a:t>
          </a:r>
          <a:endParaRPr lang="en-IN" sz="1100">
            <a:solidFill>
              <a:schemeClr val="bg1"/>
            </a:solidFill>
          </a:endParaRPr>
        </a:p>
      </xdr:txBody>
    </xdr:sp>
    <xdr:clientData/>
  </xdr:twoCellAnchor>
  <xdr:twoCellAnchor>
    <xdr:from>
      <xdr:col>10</xdr:col>
      <xdr:colOff>342900</xdr:colOff>
      <xdr:row>12</xdr:row>
      <xdr:rowOff>137160</xdr:rowOff>
    </xdr:from>
    <xdr:to>
      <xdr:col>16</xdr:col>
      <xdr:colOff>320040</xdr:colOff>
      <xdr:row>26</xdr:row>
      <xdr:rowOff>144780</xdr:rowOff>
    </xdr:to>
    <xdr:sp macro="" textlink="">
      <xdr:nvSpPr>
        <xdr:cNvPr id="8" name="Rectangle: Rounded Corners 7">
          <a:extLst>
            <a:ext uri="{FF2B5EF4-FFF2-40B4-BE49-F238E27FC236}">
              <a16:creationId xmlns:a16="http://schemas.microsoft.com/office/drawing/2014/main" id="{0B4C38B1-28FF-47F7-8FEE-F02FD121725E}"/>
            </a:ext>
          </a:extLst>
        </xdr:cNvPr>
        <xdr:cNvSpPr/>
      </xdr:nvSpPr>
      <xdr:spPr>
        <a:xfrm>
          <a:off x="6438900" y="2331720"/>
          <a:ext cx="3634740" cy="2567940"/>
        </a:xfrm>
        <a:prstGeom prst="roundRect">
          <a:avLst/>
        </a:prstGeom>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t"/>
        <a:lstStyle/>
        <a:p>
          <a:pPr algn="l"/>
          <a:r>
            <a:rPr lang="en-IN" sz="1400"/>
            <a:t>DownTime</a:t>
          </a:r>
          <a:r>
            <a:rPr lang="en-IN" sz="1400" baseline="0"/>
            <a:t> by Operator </a:t>
          </a:r>
          <a:r>
            <a:rPr lang="en-IN" sz="1400"/>
            <a:t> </a:t>
          </a:r>
        </a:p>
      </xdr:txBody>
    </xdr:sp>
    <xdr:clientData/>
  </xdr:twoCellAnchor>
  <xdr:twoCellAnchor>
    <xdr:from>
      <xdr:col>10</xdr:col>
      <xdr:colOff>533400</xdr:colOff>
      <xdr:row>15</xdr:row>
      <xdr:rowOff>68580</xdr:rowOff>
    </xdr:from>
    <xdr:to>
      <xdr:col>16</xdr:col>
      <xdr:colOff>198120</xdr:colOff>
      <xdr:row>25</xdr:row>
      <xdr:rowOff>76200</xdr:rowOff>
    </xdr:to>
    <xdr:graphicFrame macro="">
      <xdr:nvGraphicFramePr>
        <xdr:cNvPr id="10" name="Chart 9">
          <a:extLst>
            <a:ext uri="{FF2B5EF4-FFF2-40B4-BE49-F238E27FC236}">
              <a16:creationId xmlns:a16="http://schemas.microsoft.com/office/drawing/2014/main" id="{C5E3FFD2-CF68-459D-A78A-82568AFDA13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persons/person.xml><?xml version="1.0" encoding="utf-8"?>
<personList xmlns="http://schemas.microsoft.com/office/spreadsheetml/2018/threadedcomments" xmlns:x="http://schemas.openxmlformats.org/spreadsheetml/2006/main"/>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kshi" refreshedDate="46308.470264583331" backgroundQuery="1" createdVersion="8" refreshedVersion="8" minRefreshableVersion="3" recordCount="0" supportSubquery="1" supportAdvancedDrill="1" xr:uid="{FA6C28CD-7829-4B1F-BD09-9FA63A468CEE}">
  <cacheSource type="external" connectionId="5"/>
  <cacheFields count="2">
    <cacheField name="[Measures].[Distinct Count of Operator]" caption="Distinct Count of Operator" numFmtId="0" hierarchy="24" level="32767"/>
    <cacheField name="[Line_productivity].[Operator].[Operator]" caption="Operator" numFmtId="0" hierarchy="9" level="1">
      <sharedItems containsSemiMixedTypes="0" containsNonDate="0" containsString="0"/>
    </cacheField>
  </cacheFields>
  <cacheHierarchies count="30">
    <cacheHierarchy uniqueName="[Downtime_factors].[Factor]" caption="Factor" attribute="1" defaultMemberUniqueName="[Downtime_factors].[Factor].[All]" allUniqueName="[Downtime_factors].[Factor].[All]" dimensionUniqueName="[Downtime_factors]" displayFolder="" count="0" memberValueDatatype="20" unbalanced="0"/>
    <cacheHierarchy uniqueName="[Downtime_factors].[Description]" caption="Description" attribute="1" defaultMemberUniqueName="[Downtime_factors].[Description].[All]" allUniqueName="[Downtime_factors].[Description].[All]" dimensionUniqueName="[Downtime_factors]" displayFolder="" count="2" memberValueDatatype="130" unbalanced="0"/>
    <cacheHierarchy uniqueName="[Downtime_factors].[Operator Error]" caption="Operator Error" attribute="1" defaultMemberUniqueName="[Downtime_factors].[Operator Error].[All]" allUniqueName="[Downtime_factors].[Operator Error].[All]" dimensionUniqueName="[Downtime_factors]" displayFolder="" count="0" memberValueDatatype="130" unbalanced="0"/>
    <cacheHierarchy uniqueName="[Line_downtime].[Batch]" caption="Batch" attribute="1" defaultMemberUniqueName="[Line_downtime].[Batch].[All]" allUniqueName="[Line_downtime].[Batch].[All]" dimensionUniqueName="[Line_downtime]" displayFolder="" count="0" memberValueDatatype="20" unbalanced="0"/>
    <cacheHierarchy uniqueName="[Line_downtime].[Factor]" caption="Factor" attribute="1" defaultMemberUniqueName="[Line_downtime].[Factor].[All]" allUniqueName="[Line_downtime].[Factor].[All]" dimensionUniqueName="[Line_downtime]" displayFolder="" count="0" memberValueDatatype="130" unbalanced="0"/>
    <cacheHierarchy uniqueName="[Line_downtime].[Value (In mins)]" caption="Value (In mins)" attribute="1" defaultMemberUniqueName="[Line_downtime].[Value (In mins)].[All]" allUniqueName="[Line_downtime].[Value (In mins)].[All]" dimensionUniqueName="[Line_downtime]" displayFolder="" count="0" memberValueDatatype="20" unbalanced="0"/>
    <cacheHierarchy uniqueName="[Line_productivity].[Date]" caption="Date" attribute="1" time="1" defaultMemberUniqueName="[Line_productivity].[Date].[All]" allUniqueName="[Line_productivity].[Date].[All]" dimensionUniqueName="[Line_productivity]" displayFolder="" count="2" memberValueDatatype="7" unbalanced="0"/>
    <cacheHierarchy uniqueName="[Line_productivity].[Product]" caption="Product" attribute="1" defaultMemberUniqueName="[Line_productivity].[Product].[All]" allUniqueName="[Line_productivity].[Product].[All]" dimensionUniqueName="[Line_productivity]" displayFolder="" count="0" memberValueDatatype="130" unbalanced="0"/>
    <cacheHierarchy uniqueName="[Line_productivity].[Batch]" caption="Batch" attribute="1" defaultMemberUniqueName="[Line_productivity].[Batch].[All]" allUniqueName="[Line_productivity].[Batch].[All]" dimensionUniqueName="[Line_productivity]" displayFolder="" count="0" memberValueDatatype="20" unbalanced="0"/>
    <cacheHierarchy uniqueName="[Line_productivity].[Operator]" caption="Operator" attribute="1" defaultMemberUniqueName="[Line_productivity].[Operator].[All]" allUniqueName="[Line_productivity].[Operator].[All]" dimensionUniqueName="[Line_productivity]" displayFolder="" count="2" memberValueDatatype="130" unbalanced="0">
      <fieldsUsage count="2">
        <fieldUsage x="-1"/>
        <fieldUsage x="1"/>
      </fieldsUsage>
    </cacheHierarchy>
    <cacheHierarchy uniqueName="[Line_productivity].[Start Time]" caption="Start Time" attribute="1" time="1" defaultMemberUniqueName="[Line_productivity].[Start Time].[All]" allUniqueName="[Line_productivity].[Start Time].[All]" dimensionUniqueName="[Line_productivity]" displayFolder="" count="0" memberValueDatatype="7" unbalanced="0"/>
    <cacheHierarchy uniqueName="[Line_productivity].[End Time]" caption="End Time" attribute="1" time="1" defaultMemberUniqueName="[Line_productivity].[End Time].[All]" allUniqueName="[Line_productivity].[End Time].[All]" dimensionUniqueName="[Line_productivity]" displayFolder="" count="0" memberValueDatatype="7" unbalanced="0"/>
    <cacheHierarchy uniqueName="[Line_productivity].[Date (Month)]" caption="Date (Month)" attribute="1" defaultMemberUniqueName="[Line_productivity].[Date (Month)].[All]" allUniqueName="[Line_productivity].[Date (Month)].[All]" dimensionUniqueName="[Line_productivity]" displayFolder="" count="0" memberValueDatatype="130" unbalanced="0"/>
    <cacheHierarchy uniqueName="[Products].[Product]" caption="Product" attribute="1" defaultMemberUniqueName="[Products].[Product].[All]" allUniqueName="[Products].[Product].[All]" dimensionUniqueName="[Products]" displayFolder="" count="0" memberValueDatatype="130" unbalanced="0"/>
    <cacheHierarchy uniqueName="[Products].[Flavor]" caption="Flavor" attribute="1" defaultMemberUniqueName="[Products].[Flavor].[All]" allUniqueName="[Products].[Flavor].[All]" dimensionUniqueName="[Products]" displayFolder="" count="0" memberValueDatatype="130" unbalanced="0"/>
    <cacheHierarchy uniqueName="[Products].[Size]" caption="Size" attribute="1" defaultMemberUniqueName="[Products].[Size].[All]" allUniqueName="[Products].[Size].[All]" dimensionUniqueName="[Products]" displayFolder="" count="0" memberValueDatatype="130" unbalanced="0"/>
    <cacheHierarchy uniqueName="[Products].[Min batch time]" caption="Min batch time" attribute="1" defaultMemberUniqueName="[Products].[Min batch time].[All]" allUniqueName="[Products].[Min batch time].[All]" dimensionUniqueName="[Products]" displayFolder="" count="0" memberValueDatatype="20" unbalanced="0"/>
    <cacheHierarchy uniqueName="[Line_productivity].[Date (Month Index)]" caption="Date (Month Index)" attribute="1" defaultMemberUniqueName="[Line_productivity].[Date (Month Index)].[All]" allUniqueName="[Line_productivity].[Date (Month Index)].[All]" dimensionUniqueName="[Line_productivity]" displayFolder="" count="0" memberValueDatatype="20" unbalanced="0" hidden="1"/>
    <cacheHierarchy uniqueName="[Measures].[__XL_Count Products]" caption="__XL_Count Products" measure="1" displayFolder="" measureGroup="Products" count="0" hidden="1"/>
    <cacheHierarchy uniqueName="[Measures].[__XL_Count Line_productivity]" caption="__XL_Count Line_productivity" measure="1" displayFolder="" measureGroup="Line_productivity" count="0" hidden="1"/>
    <cacheHierarchy uniqueName="[Measures].[__XL_Count Line_downtime]" caption="__XL_Count Line_downtime" measure="1" displayFolder="" measureGroup="Line_downtime" count="0" hidden="1"/>
    <cacheHierarchy uniqueName="[Measures].[__XL_Count Downtime_factors]" caption="__XL_Count Downtime_factors" measure="1" displayFolder="" measureGroup="Downtime_factors" count="0" hidden="1"/>
    <cacheHierarchy uniqueName="[Measures].[__No measures defined]" caption="__No measures defined" measure="1" displayFolder="" count="0" hidden="1"/>
    <cacheHierarchy uniqueName="[Measures].[Count of Operator]" caption="Count of Operator" measure="1" displayFolder="" measureGroup="Line_productivity" count="0" hidden="1">
      <extLst>
        <ext xmlns:x15="http://schemas.microsoft.com/office/spreadsheetml/2010/11/main" uri="{B97F6D7D-B522-45F9-BDA1-12C45D357490}">
          <x15:cacheHierarchy aggregatedColumn="9"/>
        </ext>
      </extLst>
    </cacheHierarchy>
    <cacheHierarchy uniqueName="[Measures].[Distinct Count of Operator]" caption="Distinct Count of Operator" measure="1" displayFolder="" measureGroup="Line_productivity" count="0" oneField="1" hidden="1">
      <fieldsUsage count="1">
        <fieldUsage x="0"/>
      </fieldsUsage>
      <extLst>
        <ext xmlns:x15="http://schemas.microsoft.com/office/spreadsheetml/2010/11/main" uri="{B97F6D7D-B522-45F9-BDA1-12C45D357490}">
          <x15:cacheHierarchy aggregatedColumn="9"/>
        </ext>
      </extLst>
    </cacheHierarchy>
    <cacheHierarchy uniqueName="[Measures].[Sum of Batch]" caption="Sum of Batch" measure="1" displayFolder="" measureGroup="Line_productivity" count="0" hidden="1">
      <extLst>
        <ext xmlns:x15="http://schemas.microsoft.com/office/spreadsheetml/2010/11/main" uri="{B97F6D7D-B522-45F9-BDA1-12C45D357490}">
          <x15:cacheHierarchy aggregatedColumn="8"/>
        </ext>
      </extLst>
    </cacheHierarchy>
    <cacheHierarchy uniqueName="[Measures].[Distinct Count of Batch]" caption="Distinct Count of Batch" measure="1" displayFolder="" measureGroup="Line_productivity" count="0" hidden="1">
      <extLst>
        <ext xmlns:x15="http://schemas.microsoft.com/office/spreadsheetml/2010/11/main" uri="{B97F6D7D-B522-45F9-BDA1-12C45D357490}">
          <x15:cacheHierarchy aggregatedColumn="8"/>
        </ext>
      </extLst>
    </cacheHierarchy>
    <cacheHierarchy uniqueName="[Measures].[Sum of Value (In mins)]" caption="Sum of Value (In mins)" measure="1" displayFolder="" measureGroup="Line_downtime" count="0" hidden="1">
      <extLst>
        <ext xmlns:x15="http://schemas.microsoft.com/office/spreadsheetml/2010/11/main" uri="{B97F6D7D-B522-45F9-BDA1-12C45D357490}">
          <x15:cacheHierarchy aggregatedColumn="5"/>
        </ext>
      </extLst>
    </cacheHierarchy>
    <cacheHierarchy uniqueName="[Measures].[Average of Value (In mins)]" caption="Average of Value (In mins)" measure="1" displayFolder="" measureGroup="Line_downtime" count="0" hidden="1">
      <extLst>
        <ext xmlns:x15="http://schemas.microsoft.com/office/spreadsheetml/2010/11/main" uri="{B97F6D7D-B522-45F9-BDA1-12C45D357490}">
          <x15:cacheHierarchy aggregatedColumn="5"/>
        </ext>
      </extLst>
    </cacheHierarchy>
    <cacheHierarchy uniqueName="[Measures].[Count of Factor]" caption="Count of Factor" measure="1" displayFolder="" measureGroup="Line_downtime" count="0" hidden="1">
      <extLst>
        <ext xmlns:x15="http://schemas.microsoft.com/office/spreadsheetml/2010/11/main" uri="{B97F6D7D-B522-45F9-BDA1-12C45D357490}">
          <x15:cacheHierarchy aggregatedColumn="4"/>
        </ext>
      </extLst>
    </cacheHierarchy>
  </cacheHierarchies>
  <kpis count="0"/>
  <dimensions count="5">
    <dimension name="Downtime_factors" uniqueName="[Downtime_factors]" caption="Downtime_factors"/>
    <dimension name="Line_downtime" uniqueName="[Line_downtime]" caption="Line_downtime"/>
    <dimension name="Line_productivity" uniqueName="[Line_productivity]" caption="Line_productivity"/>
    <dimension measure="1" name="Measures" uniqueName="[Measures]" caption="Measures"/>
    <dimension name="Products" uniqueName="[Products]" caption="Products"/>
  </dimensions>
  <measureGroups count="4">
    <measureGroup name="Downtime_factors" caption="Downtime_factors"/>
    <measureGroup name="Line_downtime" caption="Line_downtime"/>
    <measureGroup name="Line_productivity" caption="Line_productivity"/>
    <measureGroup name="Products" caption="Products"/>
  </measureGroups>
  <maps count="8">
    <map measureGroup="0" dimension="0"/>
    <map measureGroup="1" dimension="0"/>
    <map measureGroup="1" dimension="1"/>
    <map measureGroup="1" dimension="2"/>
    <map measureGroup="1" dimension="4"/>
    <map measureGroup="2" dimension="2"/>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kshi" refreshedDate="46308.470264930555" backgroundQuery="1" createdVersion="8" refreshedVersion="8" minRefreshableVersion="3" recordCount="0" supportSubquery="1" supportAdvancedDrill="1" xr:uid="{4FE2EC02-38A7-4CC0-9EAF-812736E504FA}">
  <cacheSource type="external" connectionId="5"/>
  <cacheFields count="2">
    <cacheField name="[Measures].[Distinct Count of Batch]" caption="Distinct Count of Batch" numFmtId="0" hierarchy="26" level="32767"/>
    <cacheField name="[Line_productivity].[Operator].[Operator]" caption="Operator" numFmtId="0" hierarchy="9" level="1">
      <sharedItems containsSemiMixedTypes="0" containsNonDate="0" containsString="0"/>
    </cacheField>
  </cacheFields>
  <cacheHierarchies count="30">
    <cacheHierarchy uniqueName="[Downtime_factors].[Factor]" caption="Factor" attribute="1" defaultMemberUniqueName="[Downtime_factors].[Factor].[All]" allUniqueName="[Downtime_factors].[Factor].[All]" dimensionUniqueName="[Downtime_factors]" displayFolder="" count="0" memberValueDatatype="20" unbalanced="0"/>
    <cacheHierarchy uniqueName="[Downtime_factors].[Description]" caption="Description" attribute="1" defaultMemberUniqueName="[Downtime_factors].[Description].[All]" allUniqueName="[Downtime_factors].[Description].[All]" dimensionUniqueName="[Downtime_factors]" displayFolder="" count="2" memberValueDatatype="130" unbalanced="0"/>
    <cacheHierarchy uniqueName="[Downtime_factors].[Operator Error]" caption="Operator Error" attribute="1" defaultMemberUniqueName="[Downtime_factors].[Operator Error].[All]" allUniqueName="[Downtime_factors].[Operator Error].[All]" dimensionUniqueName="[Downtime_factors]" displayFolder="" count="0" memberValueDatatype="130" unbalanced="0"/>
    <cacheHierarchy uniqueName="[Line_downtime].[Batch]" caption="Batch" attribute="1" defaultMemberUniqueName="[Line_downtime].[Batch].[All]" allUniqueName="[Line_downtime].[Batch].[All]" dimensionUniqueName="[Line_downtime]" displayFolder="" count="0" memberValueDatatype="20" unbalanced="0"/>
    <cacheHierarchy uniqueName="[Line_downtime].[Factor]" caption="Factor" attribute="1" defaultMemberUniqueName="[Line_downtime].[Factor].[All]" allUniqueName="[Line_downtime].[Factor].[All]" dimensionUniqueName="[Line_downtime]" displayFolder="" count="0" memberValueDatatype="130" unbalanced="0"/>
    <cacheHierarchy uniqueName="[Line_downtime].[Value (In mins)]" caption="Value (In mins)" attribute="1" defaultMemberUniqueName="[Line_downtime].[Value (In mins)].[All]" allUniqueName="[Line_downtime].[Value (In mins)].[All]" dimensionUniqueName="[Line_downtime]" displayFolder="" count="0" memberValueDatatype="20" unbalanced="0"/>
    <cacheHierarchy uniqueName="[Line_productivity].[Date]" caption="Date" attribute="1" time="1" defaultMemberUniqueName="[Line_productivity].[Date].[All]" allUniqueName="[Line_productivity].[Date].[All]" dimensionUniqueName="[Line_productivity]" displayFolder="" count="2" memberValueDatatype="7" unbalanced="0"/>
    <cacheHierarchy uniqueName="[Line_productivity].[Product]" caption="Product" attribute="1" defaultMemberUniqueName="[Line_productivity].[Product].[All]" allUniqueName="[Line_productivity].[Product].[All]" dimensionUniqueName="[Line_productivity]" displayFolder="" count="0" memberValueDatatype="130" unbalanced="0"/>
    <cacheHierarchy uniqueName="[Line_productivity].[Batch]" caption="Batch" attribute="1" defaultMemberUniqueName="[Line_productivity].[Batch].[All]" allUniqueName="[Line_productivity].[Batch].[All]" dimensionUniqueName="[Line_productivity]" displayFolder="" count="0" memberValueDatatype="20" unbalanced="0"/>
    <cacheHierarchy uniqueName="[Line_productivity].[Operator]" caption="Operator" attribute="1" defaultMemberUniqueName="[Line_productivity].[Operator].[All]" allUniqueName="[Line_productivity].[Operator].[All]" dimensionUniqueName="[Line_productivity]" displayFolder="" count="2" memberValueDatatype="130" unbalanced="0">
      <fieldsUsage count="2">
        <fieldUsage x="-1"/>
        <fieldUsage x="1"/>
      </fieldsUsage>
    </cacheHierarchy>
    <cacheHierarchy uniqueName="[Line_productivity].[Start Time]" caption="Start Time" attribute="1" time="1" defaultMemberUniqueName="[Line_productivity].[Start Time].[All]" allUniqueName="[Line_productivity].[Start Time].[All]" dimensionUniqueName="[Line_productivity]" displayFolder="" count="0" memberValueDatatype="7" unbalanced="0"/>
    <cacheHierarchy uniqueName="[Line_productivity].[End Time]" caption="End Time" attribute="1" time="1" defaultMemberUniqueName="[Line_productivity].[End Time].[All]" allUniqueName="[Line_productivity].[End Time].[All]" dimensionUniqueName="[Line_productivity]" displayFolder="" count="0" memberValueDatatype="7" unbalanced="0"/>
    <cacheHierarchy uniqueName="[Line_productivity].[Date (Month)]" caption="Date (Month)" attribute="1" defaultMemberUniqueName="[Line_productivity].[Date (Month)].[All]" allUniqueName="[Line_productivity].[Date (Month)].[All]" dimensionUniqueName="[Line_productivity]" displayFolder="" count="0" memberValueDatatype="130" unbalanced="0"/>
    <cacheHierarchy uniqueName="[Products].[Product]" caption="Product" attribute="1" defaultMemberUniqueName="[Products].[Product].[All]" allUniqueName="[Products].[Product].[All]" dimensionUniqueName="[Products]" displayFolder="" count="0" memberValueDatatype="130" unbalanced="0"/>
    <cacheHierarchy uniqueName="[Products].[Flavor]" caption="Flavor" attribute="1" defaultMemberUniqueName="[Products].[Flavor].[All]" allUniqueName="[Products].[Flavor].[All]" dimensionUniqueName="[Products]" displayFolder="" count="0" memberValueDatatype="130" unbalanced="0"/>
    <cacheHierarchy uniqueName="[Products].[Size]" caption="Size" attribute="1" defaultMemberUniqueName="[Products].[Size].[All]" allUniqueName="[Products].[Size].[All]" dimensionUniqueName="[Products]" displayFolder="" count="0" memberValueDatatype="130" unbalanced="0"/>
    <cacheHierarchy uniqueName="[Products].[Min batch time]" caption="Min batch time" attribute="1" defaultMemberUniqueName="[Products].[Min batch time].[All]" allUniqueName="[Products].[Min batch time].[All]" dimensionUniqueName="[Products]" displayFolder="" count="0" memberValueDatatype="20" unbalanced="0"/>
    <cacheHierarchy uniqueName="[Line_productivity].[Date (Month Index)]" caption="Date (Month Index)" attribute="1" defaultMemberUniqueName="[Line_productivity].[Date (Month Index)].[All]" allUniqueName="[Line_productivity].[Date (Month Index)].[All]" dimensionUniqueName="[Line_productivity]" displayFolder="" count="0" memberValueDatatype="20" unbalanced="0" hidden="1"/>
    <cacheHierarchy uniqueName="[Measures].[__XL_Count Products]" caption="__XL_Count Products" measure="1" displayFolder="" measureGroup="Products" count="0" hidden="1"/>
    <cacheHierarchy uniqueName="[Measures].[__XL_Count Line_productivity]" caption="__XL_Count Line_productivity" measure="1" displayFolder="" measureGroup="Line_productivity" count="0" hidden="1"/>
    <cacheHierarchy uniqueName="[Measures].[__XL_Count Line_downtime]" caption="__XL_Count Line_downtime" measure="1" displayFolder="" measureGroup="Line_downtime" count="0" hidden="1"/>
    <cacheHierarchy uniqueName="[Measures].[__XL_Count Downtime_factors]" caption="__XL_Count Downtime_factors" measure="1" displayFolder="" measureGroup="Downtime_factors" count="0" hidden="1"/>
    <cacheHierarchy uniqueName="[Measures].[__No measures defined]" caption="__No measures defined" measure="1" displayFolder="" count="0" hidden="1"/>
    <cacheHierarchy uniqueName="[Measures].[Count of Operator]" caption="Count of Operator" measure="1" displayFolder="" measureGroup="Line_productivity" count="0" hidden="1">
      <extLst>
        <ext xmlns:x15="http://schemas.microsoft.com/office/spreadsheetml/2010/11/main" uri="{B97F6D7D-B522-45F9-BDA1-12C45D357490}">
          <x15:cacheHierarchy aggregatedColumn="9"/>
        </ext>
      </extLst>
    </cacheHierarchy>
    <cacheHierarchy uniqueName="[Measures].[Distinct Count of Operator]" caption="Distinct Count of Operator" measure="1" displayFolder="" measureGroup="Line_productivity" count="0" hidden="1">
      <extLst>
        <ext xmlns:x15="http://schemas.microsoft.com/office/spreadsheetml/2010/11/main" uri="{B97F6D7D-B522-45F9-BDA1-12C45D357490}">
          <x15:cacheHierarchy aggregatedColumn="9"/>
        </ext>
      </extLst>
    </cacheHierarchy>
    <cacheHierarchy uniqueName="[Measures].[Sum of Batch]" caption="Sum of Batch" measure="1" displayFolder="" measureGroup="Line_productivity" count="0" hidden="1">
      <extLst>
        <ext xmlns:x15="http://schemas.microsoft.com/office/spreadsheetml/2010/11/main" uri="{B97F6D7D-B522-45F9-BDA1-12C45D357490}">
          <x15:cacheHierarchy aggregatedColumn="8"/>
        </ext>
      </extLst>
    </cacheHierarchy>
    <cacheHierarchy uniqueName="[Measures].[Distinct Count of Batch]" caption="Distinct Count of Batch" measure="1" displayFolder="" measureGroup="Line_productivity" count="0" oneField="1" hidden="1">
      <fieldsUsage count="1">
        <fieldUsage x="0"/>
      </fieldsUsage>
      <extLst>
        <ext xmlns:x15="http://schemas.microsoft.com/office/spreadsheetml/2010/11/main" uri="{B97F6D7D-B522-45F9-BDA1-12C45D357490}">
          <x15:cacheHierarchy aggregatedColumn="8"/>
        </ext>
      </extLst>
    </cacheHierarchy>
    <cacheHierarchy uniqueName="[Measures].[Sum of Value (In mins)]" caption="Sum of Value (In mins)" measure="1" displayFolder="" measureGroup="Line_downtime" count="0" hidden="1">
      <extLst>
        <ext xmlns:x15="http://schemas.microsoft.com/office/spreadsheetml/2010/11/main" uri="{B97F6D7D-B522-45F9-BDA1-12C45D357490}">
          <x15:cacheHierarchy aggregatedColumn="5"/>
        </ext>
      </extLst>
    </cacheHierarchy>
    <cacheHierarchy uniqueName="[Measures].[Average of Value (In mins)]" caption="Average of Value (In mins)" measure="1" displayFolder="" measureGroup="Line_downtime" count="0" hidden="1">
      <extLst>
        <ext xmlns:x15="http://schemas.microsoft.com/office/spreadsheetml/2010/11/main" uri="{B97F6D7D-B522-45F9-BDA1-12C45D357490}">
          <x15:cacheHierarchy aggregatedColumn="5"/>
        </ext>
      </extLst>
    </cacheHierarchy>
    <cacheHierarchy uniqueName="[Measures].[Count of Factor]" caption="Count of Factor" measure="1" displayFolder="" measureGroup="Line_downtime" count="0" hidden="1">
      <extLst>
        <ext xmlns:x15="http://schemas.microsoft.com/office/spreadsheetml/2010/11/main" uri="{B97F6D7D-B522-45F9-BDA1-12C45D357490}">
          <x15:cacheHierarchy aggregatedColumn="4"/>
        </ext>
      </extLst>
    </cacheHierarchy>
  </cacheHierarchies>
  <kpis count="0"/>
  <dimensions count="5">
    <dimension name="Downtime_factors" uniqueName="[Downtime_factors]" caption="Downtime_factors"/>
    <dimension name="Line_downtime" uniqueName="[Line_downtime]" caption="Line_downtime"/>
    <dimension name="Line_productivity" uniqueName="[Line_productivity]" caption="Line_productivity"/>
    <dimension measure="1" name="Measures" uniqueName="[Measures]" caption="Measures"/>
    <dimension name="Products" uniqueName="[Products]" caption="Products"/>
  </dimensions>
  <measureGroups count="4">
    <measureGroup name="Downtime_factors" caption="Downtime_factors"/>
    <measureGroup name="Line_downtime" caption="Line_downtime"/>
    <measureGroup name="Line_productivity" caption="Line_productivity"/>
    <measureGroup name="Products" caption="Products"/>
  </measureGroups>
  <maps count="8">
    <map measureGroup="0" dimension="0"/>
    <map measureGroup="1" dimension="0"/>
    <map measureGroup="1" dimension="1"/>
    <map measureGroup="1" dimension="2"/>
    <map measureGroup="1" dimension="4"/>
    <map measureGroup="2" dimension="2"/>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kshi" refreshedDate="46308.470265162039" backgroundQuery="1" createdVersion="8" refreshedVersion="8" minRefreshableVersion="3" recordCount="0" supportSubquery="1" supportAdvancedDrill="1" xr:uid="{623E18A2-5369-41E2-8139-7450F8FCD0F3}">
  <cacheSource type="external" connectionId="5"/>
  <cacheFields count="2">
    <cacheField name="[Measures].[Sum of Value (In mins)]" caption="Sum of Value (In mins)" numFmtId="0" hierarchy="27" level="32767"/>
    <cacheField name="[Line_productivity].[Operator].[Operator]" caption="Operator" numFmtId="0" hierarchy="9" level="1">
      <sharedItems containsSemiMixedTypes="0" containsNonDate="0" containsString="0"/>
    </cacheField>
  </cacheFields>
  <cacheHierarchies count="30">
    <cacheHierarchy uniqueName="[Downtime_factors].[Factor]" caption="Factor" attribute="1" defaultMemberUniqueName="[Downtime_factors].[Factor].[All]" allUniqueName="[Downtime_factors].[Factor].[All]" dimensionUniqueName="[Downtime_factors]" displayFolder="" count="0" memberValueDatatype="20" unbalanced="0"/>
    <cacheHierarchy uniqueName="[Downtime_factors].[Description]" caption="Description" attribute="1" defaultMemberUniqueName="[Downtime_factors].[Description].[All]" allUniqueName="[Downtime_factors].[Description].[All]" dimensionUniqueName="[Downtime_factors]" displayFolder="" count="2" memberValueDatatype="130" unbalanced="0"/>
    <cacheHierarchy uniqueName="[Downtime_factors].[Operator Error]" caption="Operator Error" attribute="1" defaultMemberUniqueName="[Downtime_factors].[Operator Error].[All]" allUniqueName="[Downtime_factors].[Operator Error].[All]" dimensionUniqueName="[Downtime_factors]" displayFolder="" count="0" memberValueDatatype="130" unbalanced="0"/>
    <cacheHierarchy uniqueName="[Line_downtime].[Batch]" caption="Batch" attribute="1" defaultMemberUniqueName="[Line_downtime].[Batch].[All]" allUniqueName="[Line_downtime].[Batch].[All]" dimensionUniqueName="[Line_downtime]" displayFolder="" count="0" memberValueDatatype="20" unbalanced="0"/>
    <cacheHierarchy uniqueName="[Line_downtime].[Factor]" caption="Factor" attribute="1" defaultMemberUniqueName="[Line_downtime].[Factor].[All]" allUniqueName="[Line_downtime].[Factor].[All]" dimensionUniqueName="[Line_downtime]" displayFolder="" count="0" memberValueDatatype="130" unbalanced="0"/>
    <cacheHierarchy uniqueName="[Line_downtime].[Value (In mins)]" caption="Value (In mins)" attribute="1" defaultMemberUniqueName="[Line_downtime].[Value (In mins)].[All]" allUniqueName="[Line_downtime].[Value (In mins)].[All]" dimensionUniqueName="[Line_downtime]" displayFolder="" count="0" memberValueDatatype="20" unbalanced="0"/>
    <cacheHierarchy uniqueName="[Line_productivity].[Date]" caption="Date" attribute="1" time="1" defaultMemberUniqueName="[Line_productivity].[Date].[All]" allUniqueName="[Line_productivity].[Date].[All]" dimensionUniqueName="[Line_productivity]" displayFolder="" count="2" memberValueDatatype="7" unbalanced="0"/>
    <cacheHierarchy uniqueName="[Line_productivity].[Product]" caption="Product" attribute="1" defaultMemberUniqueName="[Line_productivity].[Product].[All]" allUniqueName="[Line_productivity].[Product].[All]" dimensionUniqueName="[Line_productivity]" displayFolder="" count="0" memberValueDatatype="130" unbalanced="0"/>
    <cacheHierarchy uniqueName="[Line_productivity].[Batch]" caption="Batch" attribute="1" defaultMemberUniqueName="[Line_productivity].[Batch].[All]" allUniqueName="[Line_productivity].[Batch].[All]" dimensionUniqueName="[Line_productivity]" displayFolder="" count="0" memberValueDatatype="20" unbalanced="0"/>
    <cacheHierarchy uniqueName="[Line_productivity].[Operator]" caption="Operator" attribute="1" defaultMemberUniqueName="[Line_productivity].[Operator].[All]" allUniqueName="[Line_productivity].[Operator].[All]" dimensionUniqueName="[Line_productivity]" displayFolder="" count="2" memberValueDatatype="130" unbalanced="0">
      <fieldsUsage count="2">
        <fieldUsage x="-1"/>
        <fieldUsage x="1"/>
      </fieldsUsage>
    </cacheHierarchy>
    <cacheHierarchy uniqueName="[Line_productivity].[Start Time]" caption="Start Time" attribute="1" time="1" defaultMemberUniqueName="[Line_productivity].[Start Time].[All]" allUniqueName="[Line_productivity].[Start Time].[All]" dimensionUniqueName="[Line_productivity]" displayFolder="" count="0" memberValueDatatype="7" unbalanced="0"/>
    <cacheHierarchy uniqueName="[Line_productivity].[End Time]" caption="End Time" attribute="1" time="1" defaultMemberUniqueName="[Line_productivity].[End Time].[All]" allUniqueName="[Line_productivity].[End Time].[All]" dimensionUniqueName="[Line_productivity]" displayFolder="" count="0" memberValueDatatype="7" unbalanced="0"/>
    <cacheHierarchy uniqueName="[Line_productivity].[Date (Month)]" caption="Date (Month)" attribute="1" defaultMemberUniqueName="[Line_productivity].[Date (Month)].[All]" allUniqueName="[Line_productivity].[Date (Month)].[All]" dimensionUniqueName="[Line_productivity]" displayFolder="" count="0" memberValueDatatype="130" unbalanced="0"/>
    <cacheHierarchy uniqueName="[Products].[Product]" caption="Product" attribute="1" defaultMemberUniqueName="[Products].[Product].[All]" allUniqueName="[Products].[Product].[All]" dimensionUniqueName="[Products]" displayFolder="" count="0" memberValueDatatype="130" unbalanced="0"/>
    <cacheHierarchy uniqueName="[Products].[Flavor]" caption="Flavor" attribute="1" defaultMemberUniqueName="[Products].[Flavor].[All]" allUniqueName="[Products].[Flavor].[All]" dimensionUniqueName="[Products]" displayFolder="" count="0" memberValueDatatype="130" unbalanced="0"/>
    <cacheHierarchy uniqueName="[Products].[Size]" caption="Size" attribute="1" defaultMemberUniqueName="[Products].[Size].[All]" allUniqueName="[Products].[Size].[All]" dimensionUniqueName="[Products]" displayFolder="" count="0" memberValueDatatype="130" unbalanced="0"/>
    <cacheHierarchy uniqueName="[Products].[Min batch time]" caption="Min batch time" attribute="1" defaultMemberUniqueName="[Products].[Min batch time].[All]" allUniqueName="[Products].[Min batch time].[All]" dimensionUniqueName="[Products]" displayFolder="" count="0" memberValueDatatype="20" unbalanced="0"/>
    <cacheHierarchy uniqueName="[Line_productivity].[Date (Month Index)]" caption="Date (Month Index)" attribute="1" defaultMemberUniqueName="[Line_productivity].[Date (Month Index)].[All]" allUniqueName="[Line_productivity].[Date (Month Index)].[All]" dimensionUniqueName="[Line_productivity]" displayFolder="" count="0" memberValueDatatype="20" unbalanced="0" hidden="1"/>
    <cacheHierarchy uniqueName="[Measures].[__XL_Count Products]" caption="__XL_Count Products" measure="1" displayFolder="" measureGroup="Products" count="0" hidden="1"/>
    <cacheHierarchy uniqueName="[Measures].[__XL_Count Line_productivity]" caption="__XL_Count Line_productivity" measure="1" displayFolder="" measureGroup="Line_productivity" count="0" hidden="1"/>
    <cacheHierarchy uniqueName="[Measures].[__XL_Count Line_downtime]" caption="__XL_Count Line_downtime" measure="1" displayFolder="" measureGroup="Line_downtime" count="0" hidden="1"/>
    <cacheHierarchy uniqueName="[Measures].[__XL_Count Downtime_factors]" caption="__XL_Count Downtime_factors" measure="1" displayFolder="" measureGroup="Downtime_factors" count="0" hidden="1"/>
    <cacheHierarchy uniqueName="[Measures].[__No measures defined]" caption="__No measures defined" measure="1" displayFolder="" count="0" hidden="1"/>
    <cacheHierarchy uniqueName="[Measures].[Count of Operator]" caption="Count of Operator" measure="1" displayFolder="" measureGroup="Line_productivity" count="0" hidden="1">
      <extLst>
        <ext xmlns:x15="http://schemas.microsoft.com/office/spreadsheetml/2010/11/main" uri="{B97F6D7D-B522-45F9-BDA1-12C45D357490}">
          <x15:cacheHierarchy aggregatedColumn="9"/>
        </ext>
      </extLst>
    </cacheHierarchy>
    <cacheHierarchy uniqueName="[Measures].[Distinct Count of Operator]" caption="Distinct Count of Operator" measure="1" displayFolder="" measureGroup="Line_productivity" count="0" hidden="1">
      <extLst>
        <ext xmlns:x15="http://schemas.microsoft.com/office/spreadsheetml/2010/11/main" uri="{B97F6D7D-B522-45F9-BDA1-12C45D357490}">
          <x15:cacheHierarchy aggregatedColumn="9"/>
        </ext>
      </extLst>
    </cacheHierarchy>
    <cacheHierarchy uniqueName="[Measures].[Sum of Batch]" caption="Sum of Batch" measure="1" displayFolder="" measureGroup="Line_productivity" count="0" hidden="1">
      <extLst>
        <ext xmlns:x15="http://schemas.microsoft.com/office/spreadsheetml/2010/11/main" uri="{B97F6D7D-B522-45F9-BDA1-12C45D357490}">
          <x15:cacheHierarchy aggregatedColumn="8"/>
        </ext>
      </extLst>
    </cacheHierarchy>
    <cacheHierarchy uniqueName="[Measures].[Distinct Count of Batch]" caption="Distinct Count of Batch" measure="1" displayFolder="" measureGroup="Line_productivity" count="0" hidden="1">
      <extLst>
        <ext xmlns:x15="http://schemas.microsoft.com/office/spreadsheetml/2010/11/main" uri="{B97F6D7D-B522-45F9-BDA1-12C45D357490}">
          <x15:cacheHierarchy aggregatedColumn="8"/>
        </ext>
      </extLst>
    </cacheHierarchy>
    <cacheHierarchy uniqueName="[Measures].[Sum of Value (In mins)]" caption="Sum of Value (In mins)" measure="1" displayFolder="" measureGroup="Line_downtime" count="0" oneField="1" hidden="1">
      <fieldsUsage count="1">
        <fieldUsage x="0"/>
      </fieldsUsage>
      <extLst>
        <ext xmlns:x15="http://schemas.microsoft.com/office/spreadsheetml/2010/11/main" uri="{B97F6D7D-B522-45F9-BDA1-12C45D357490}">
          <x15:cacheHierarchy aggregatedColumn="5"/>
        </ext>
      </extLst>
    </cacheHierarchy>
    <cacheHierarchy uniqueName="[Measures].[Average of Value (In mins)]" caption="Average of Value (In mins)" measure="1" displayFolder="" measureGroup="Line_downtime" count="0" hidden="1">
      <extLst>
        <ext xmlns:x15="http://schemas.microsoft.com/office/spreadsheetml/2010/11/main" uri="{B97F6D7D-B522-45F9-BDA1-12C45D357490}">
          <x15:cacheHierarchy aggregatedColumn="5"/>
        </ext>
      </extLst>
    </cacheHierarchy>
    <cacheHierarchy uniqueName="[Measures].[Count of Factor]" caption="Count of Factor" measure="1" displayFolder="" measureGroup="Line_downtime" count="0" hidden="1">
      <extLst>
        <ext xmlns:x15="http://schemas.microsoft.com/office/spreadsheetml/2010/11/main" uri="{B97F6D7D-B522-45F9-BDA1-12C45D357490}">
          <x15:cacheHierarchy aggregatedColumn="4"/>
        </ext>
      </extLst>
    </cacheHierarchy>
  </cacheHierarchies>
  <kpis count="0"/>
  <dimensions count="5">
    <dimension name="Downtime_factors" uniqueName="[Downtime_factors]" caption="Downtime_factors"/>
    <dimension name="Line_downtime" uniqueName="[Line_downtime]" caption="Line_downtime"/>
    <dimension name="Line_productivity" uniqueName="[Line_productivity]" caption="Line_productivity"/>
    <dimension measure="1" name="Measures" uniqueName="[Measures]" caption="Measures"/>
    <dimension name="Products" uniqueName="[Products]" caption="Products"/>
  </dimensions>
  <measureGroups count="4">
    <measureGroup name="Downtime_factors" caption="Downtime_factors"/>
    <measureGroup name="Line_downtime" caption="Line_downtime"/>
    <measureGroup name="Line_productivity" caption="Line_productivity"/>
    <measureGroup name="Products" caption="Products"/>
  </measureGroups>
  <maps count="8">
    <map measureGroup="0" dimension="0"/>
    <map measureGroup="1" dimension="0"/>
    <map measureGroup="1" dimension="1"/>
    <map measureGroup="1" dimension="2"/>
    <map measureGroup="1" dimension="4"/>
    <map measureGroup="2" dimension="2"/>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kshi" refreshedDate="46308.470265625001" backgroundQuery="1" createdVersion="8" refreshedVersion="8" minRefreshableVersion="3" recordCount="0" supportSubquery="1" supportAdvancedDrill="1" xr:uid="{015F6209-136C-4A61-A265-B8D4885ECAD2}">
  <cacheSource type="external" connectionId="5"/>
  <cacheFields count="3">
    <cacheField name="[Line_productivity].[Operator].[Operator]" caption="Operator" numFmtId="0" hierarchy="9" level="1">
      <sharedItems count="4">
        <s v="Charlie"/>
        <s v="Dee"/>
        <s v="Dennis"/>
        <s v="Mac"/>
      </sharedItems>
    </cacheField>
    <cacheField name="[Downtime_factors].[Operator Error].[Operator Error]" caption="Operator Error" numFmtId="0" hierarchy="2" level="1">
      <sharedItems containsSemiMixedTypes="0" containsNonDate="0" containsString="0"/>
    </cacheField>
    <cacheField name="[Measures].[Average of Value (In mins)]" caption="Average of Value (In mins)" numFmtId="0" hierarchy="28" level="32767"/>
  </cacheFields>
  <cacheHierarchies count="30">
    <cacheHierarchy uniqueName="[Downtime_factors].[Factor]" caption="Factor" attribute="1" defaultMemberUniqueName="[Downtime_factors].[Factor].[All]" allUniqueName="[Downtime_factors].[Factor].[All]" dimensionUniqueName="[Downtime_factors]" displayFolder="" count="0" memberValueDatatype="20" unbalanced="0"/>
    <cacheHierarchy uniqueName="[Downtime_factors].[Description]" caption="Description" attribute="1" defaultMemberUniqueName="[Downtime_factors].[Description].[All]" allUniqueName="[Downtime_factors].[Description].[All]" dimensionUniqueName="[Downtime_factors]" displayFolder="" count="2" memberValueDatatype="130" unbalanced="0"/>
    <cacheHierarchy uniqueName="[Downtime_factors].[Operator Error]" caption="Operator Error" attribute="1" defaultMemberUniqueName="[Downtime_factors].[Operator Error].[All]" allUniqueName="[Downtime_factors].[Operator Error].[All]" dimensionUniqueName="[Downtime_factors]" displayFolder="" count="2" memberValueDatatype="130" unbalanced="0">
      <fieldsUsage count="2">
        <fieldUsage x="-1"/>
        <fieldUsage x="1"/>
      </fieldsUsage>
    </cacheHierarchy>
    <cacheHierarchy uniqueName="[Line_downtime].[Batch]" caption="Batch" attribute="1" defaultMemberUniqueName="[Line_downtime].[Batch].[All]" allUniqueName="[Line_downtime].[Batch].[All]" dimensionUniqueName="[Line_downtime]" displayFolder="" count="0" memberValueDatatype="20" unbalanced="0"/>
    <cacheHierarchy uniqueName="[Line_downtime].[Factor]" caption="Factor" attribute="1" defaultMemberUniqueName="[Line_downtime].[Factor].[All]" allUniqueName="[Line_downtime].[Factor].[All]" dimensionUniqueName="[Line_downtime]" displayFolder="" count="0" memberValueDatatype="130" unbalanced="0"/>
    <cacheHierarchy uniqueName="[Line_downtime].[Value (In mins)]" caption="Value (In mins)" attribute="1" defaultMemberUniqueName="[Line_downtime].[Value (In mins)].[All]" allUniqueName="[Line_downtime].[Value (In mins)].[All]" dimensionUniqueName="[Line_downtime]" displayFolder="" count="0" memberValueDatatype="20" unbalanced="0"/>
    <cacheHierarchy uniqueName="[Line_productivity].[Date]" caption="Date" attribute="1" time="1" defaultMemberUniqueName="[Line_productivity].[Date].[All]" allUniqueName="[Line_productivity].[Date].[All]" dimensionUniqueName="[Line_productivity]" displayFolder="" count="2" memberValueDatatype="7" unbalanced="0"/>
    <cacheHierarchy uniqueName="[Line_productivity].[Product]" caption="Product" attribute="1" defaultMemberUniqueName="[Line_productivity].[Product].[All]" allUniqueName="[Line_productivity].[Product].[All]" dimensionUniqueName="[Line_productivity]" displayFolder="" count="0" memberValueDatatype="130" unbalanced="0"/>
    <cacheHierarchy uniqueName="[Line_productivity].[Batch]" caption="Batch" attribute="1" defaultMemberUniqueName="[Line_productivity].[Batch].[All]" allUniqueName="[Line_productivity].[Batch].[All]" dimensionUniqueName="[Line_productivity]" displayFolder="" count="0" memberValueDatatype="20" unbalanced="0"/>
    <cacheHierarchy uniqueName="[Line_productivity].[Operator]" caption="Operator" attribute="1" defaultMemberUniqueName="[Line_productivity].[Operator].[All]" allUniqueName="[Line_productivity].[Operator].[All]" dimensionUniqueName="[Line_productivity]" displayFolder="" count="2" memberValueDatatype="130" unbalanced="0">
      <fieldsUsage count="2">
        <fieldUsage x="-1"/>
        <fieldUsage x="0"/>
      </fieldsUsage>
    </cacheHierarchy>
    <cacheHierarchy uniqueName="[Line_productivity].[Start Time]" caption="Start Time" attribute="1" time="1" defaultMemberUniqueName="[Line_productivity].[Start Time].[All]" allUniqueName="[Line_productivity].[Start Time].[All]" dimensionUniqueName="[Line_productivity]" displayFolder="" count="0" memberValueDatatype="7" unbalanced="0"/>
    <cacheHierarchy uniqueName="[Line_productivity].[End Time]" caption="End Time" attribute="1" time="1" defaultMemberUniqueName="[Line_productivity].[End Time].[All]" allUniqueName="[Line_productivity].[End Time].[All]" dimensionUniqueName="[Line_productivity]" displayFolder="" count="0" memberValueDatatype="7" unbalanced="0"/>
    <cacheHierarchy uniqueName="[Line_productivity].[Date (Month)]" caption="Date (Month)" attribute="1" defaultMemberUniqueName="[Line_productivity].[Date (Month)].[All]" allUniqueName="[Line_productivity].[Date (Month)].[All]" dimensionUniqueName="[Line_productivity]" displayFolder="" count="0" memberValueDatatype="130" unbalanced="0"/>
    <cacheHierarchy uniqueName="[Products].[Product]" caption="Product" attribute="1" defaultMemberUniqueName="[Products].[Product].[All]" allUniqueName="[Products].[Product].[All]" dimensionUniqueName="[Products]" displayFolder="" count="0" memberValueDatatype="130" unbalanced="0"/>
    <cacheHierarchy uniqueName="[Products].[Flavor]" caption="Flavor" attribute="1" defaultMemberUniqueName="[Products].[Flavor].[All]" allUniqueName="[Products].[Flavor].[All]" dimensionUniqueName="[Products]" displayFolder="" count="0" memberValueDatatype="130" unbalanced="0"/>
    <cacheHierarchy uniqueName="[Products].[Size]" caption="Size" attribute="1" defaultMemberUniqueName="[Products].[Size].[All]" allUniqueName="[Products].[Size].[All]" dimensionUniqueName="[Products]" displayFolder="" count="0" memberValueDatatype="130" unbalanced="0"/>
    <cacheHierarchy uniqueName="[Products].[Min batch time]" caption="Min batch time" attribute="1" defaultMemberUniqueName="[Products].[Min batch time].[All]" allUniqueName="[Products].[Min batch time].[All]" dimensionUniqueName="[Products]" displayFolder="" count="0" memberValueDatatype="20" unbalanced="0"/>
    <cacheHierarchy uniqueName="[Line_productivity].[Date (Month Index)]" caption="Date (Month Index)" attribute="1" defaultMemberUniqueName="[Line_productivity].[Date (Month Index)].[All]" allUniqueName="[Line_productivity].[Date (Month Index)].[All]" dimensionUniqueName="[Line_productivity]" displayFolder="" count="0" memberValueDatatype="20" unbalanced="0" hidden="1"/>
    <cacheHierarchy uniqueName="[Measures].[__XL_Count Products]" caption="__XL_Count Products" measure="1" displayFolder="" measureGroup="Products" count="0" hidden="1"/>
    <cacheHierarchy uniqueName="[Measures].[__XL_Count Line_productivity]" caption="__XL_Count Line_productivity" measure="1" displayFolder="" measureGroup="Line_productivity" count="0" hidden="1"/>
    <cacheHierarchy uniqueName="[Measures].[__XL_Count Line_downtime]" caption="__XL_Count Line_downtime" measure="1" displayFolder="" measureGroup="Line_downtime" count="0" hidden="1"/>
    <cacheHierarchy uniqueName="[Measures].[__XL_Count Downtime_factors]" caption="__XL_Count Downtime_factors" measure="1" displayFolder="" measureGroup="Downtime_factors" count="0" hidden="1"/>
    <cacheHierarchy uniqueName="[Measures].[__No measures defined]" caption="__No measures defined" measure="1" displayFolder="" count="0" hidden="1"/>
    <cacheHierarchy uniqueName="[Measures].[Count of Operator]" caption="Count of Operator" measure="1" displayFolder="" measureGroup="Line_productivity" count="0" hidden="1">
      <extLst>
        <ext xmlns:x15="http://schemas.microsoft.com/office/spreadsheetml/2010/11/main" uri="{B97F6D7D-B522-45F9-BDA1-12C45D357490}">
          <x15:cacheHierarchy aggregatedColumn="9"/>
        </ext>
      </extLst>
    </cacheHierarchy>
    <cacheHierarchy uniqueName="[Measures].[Distinct Count of Operator]" caption="Distinct Count of Operator" measure="1" displayFolder="" measureGroup="Line_productivity" count="0" hidden="1">
      <extLst>
        <ext xmlns:x15="http://schemas.microsoft.com/office/spreadsheetml/2010/11/main" uri="{B97F6D7D-B522-45F9-BDA1-12C45D357490}">
          <x15:cacheHierarchy aggregatedColumn="9"/>
        </ext>
      </extLst>
    </cacheHierarchy>
    <cacheHierarchy uniqueName="[Measures].[Sum of Batch]" caption="Sum of Batch" measure="1" displayFolder="" measureGroup="Line_productivity" count="0" hidden="1">
      <extLst>
        <ext xmlns:x15="http://schemas.microsoft.com/office/spreadsheetml/2010/11/main" uri="{B97F6D7D-B522-45F9-BDA1-12C45D357490}">
          <x15:cacheHierarchy aggregatedColumn="8"/>
        </ext>
      </extLst>
    </cacheHierarchy>
    <cacheHierarchy uniqueName="[Measures].[Distinct Count of Batch]" caption="Distinct Count of Batch" measure="1" displayFolder="" measureGroup="Line_productivity" count="0" hidden="1">
      <extLst>
        <ext xmlns:x15="http://schemas.microsoft.com/office/spreadsheetml/2010/11/main" uri="{B97F6D7D-B522-45F9-BDA1-12C45D357490}">
          <x15:cacheHierarchy aggregatedColumn="8"/>
        </ext>
      </extLst>
    </cacheHierarchy>
    <cacheHierarchy uniqueName="[Measures].[Sum of Value (In mins)]" caption="Sum of Value (In mins)" measure="1" displayFolder="" measureGroup="Line_downtime" count="0" hidden="1">
      <extLst>
        <ext xmlns:x15="http://schemas.microsoft.com/office/spreadsheetml/2010/11/main" uri="{B97F6D7D-B522-45F9-BDA1-12C45D357490}">
          <x15:cacheHierarchy aggregatedColumn="5"/>
        </ext>
      </extLst>
    </cacheHierarchy>
    <cacheHierarchy uniqueName="[Measures].[Average of Value (In mins)]" caption="Average of Value (In mins)" measure="1" displayFolder="" measureGroup="Line_downtime" count="0" oneField="1" hidden="1">
      <fieldsUsage count="1">
        <fieldUsage x="2"/>
      </fieldsUsage>
      <extLst>
        <ext xmlns:x15="http://schemas.microsoft.com/office/spreadsheetml/2010/11/main" uri="{B97F6D7D-B522-45F9-BDA1-12C45D357490}">
          <x15:cacheHierarchy aggregatedColumn="5"/>
        </ext>
      </extLst>
    </cacheHierarchy>
    <cacheHierarchy uniqueName="[Measures].[Count of Factor]" caption="Count of Factor" measure="1" displayFolder="" measureGroup="Line_downtime" count="0" hidden="1">
      <extLst>
        <ext xmlns:x15="http://schemas.microsoft.com/office/spreadsheetml/2010/11/main" uri="{B97F6D7D-B522-45F9-BDA1-12C45D357490}">
          <x15:cacheHierarchy aggregatedColumn="4"/>
        </ext>
      </extLst>
    </cacheHierarchy>
  </cacheHierarchies>
  <kpis count="0"/>
  <dimensions count="5">
    <dimension name="Downtime_factors" uniqueName="[Downtime_factors]" caption="Downtime_factors"/>
    <dimension name="Line_downtime" uniqueName="[Line_downtime]" caption="Line_downtime"/>
    <dimension name="Line_productivity" uniqueName="[Line_productivity]" caption="Line_productivity"/>
    <dimension measure="1" name="Measures" uniqueName="[Measures]" caption="Measures"/>
    <dimension name="Products" uniqueName="[Products]" caption="Products"/>
  </dimensions>
  <measureGroups count="4">
    <measureGroup name="Downtime_factors" caption="Downtime_factors"/>
    <measureGroup name="Line_downtime" caption="Line_downtime"/>
    <measureGroup name="Line_productivity" caption="Line_productivity"/>
    <measureGroup name="Products" caption="Products"/>
  </measureGroups>
  <maps count="8">
    <map measureGroup="0" dimension="0"/>
    <map measureGroup="1" dimension="0"/>
    <map measureGroup="1" dimension="1"/>
    <map measureGroup="1" dimension="2"/>
    <map measureGroup="1" dimension="4"/>
    <map measureGroup="2" dimension="2"/>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kshi" refreshedDate="46308.470266203702" backgroundQuery="1" createdVersion="8" refreshedVersion="8" minRefreshableVersion="3" recordCount="0" supportSubquery="1" supportAdvancedDrill="1" xr:uid="{B84A65AE-7031-4DF7-81C1-D5F1EEE6CF5C}">
  <cacheSource type="external" connectionId="5"/>
  <cacheFields count="4">
    <cacheField name="[Line_productivity].[Date].[Date]" caption="Date" numFmtId="0" hierarchy="6" level="1">
      <sharedItems containsSemiMixedTypes="0" containsNonDate="0" containsDate="1" containsString="0" minDate="2024-08-29T00:00:00" maxDate="2024-09-04T00:00:00" count="5">
        <d v="2024-08-29T00:00:00"/>
        <d v="2024-08-30T00:00:00"/>
        <d v="2024-08-31T00:00:00"/>
        <d v="2024-09-02T00:00:00"/>
        <d v="2024-09-03T00:00:00"/>
      </sharedItems>
    </cacheField>
    <cacheField name="[Line_productivity].[Date (Month)].[Date (Month)]" caption="Date (Month)" numFmtId="0" hierarchy="12" level="1">
      <sharedItems containsSemiMixedTypes="0" containsNonDate="0" containsString="0"/>
    </cacheField>
    <cacheField name="[Measures].[Sum of Value (In mins)]" caption="Sum of Value (In mins)" numFmtId="0" hierarchy="27" level="32767"/>
    <cacheField name="[Line_productivity].[Operator].[Operator]" caption="Operator" numFmtId="0" hierarchy="9" level="1">
      <sharedItems containsSemiMixedTypes="0" containsNonDate="0" containsString="0"/>
    </cacheField>
  </cacheFields>
  <cacheHierarchies count="30">
    <cacheHierarchy uniqueName="[Downtime_factors].[Factor]" caption="Factor" attribute="1" defaultMemberUniqueName="[Downtime_factors].[Factor].[All]" allUniqueName="[Downtime_factors].[Factor].[All]" dimensionUniqueName="[Downtime_factors]" displayFolder="" count="0" memberValueDatatype="20" unbalanced="0"/>
    <cacheHierarchy uniqueName="[Downtime_factors].[Description]" caption="Description" attribute="1" defaultMemberUniqueName="[Downtime_factors].[Description].[All]" allUniqueName="[Downtime_factors].[Description].[All]" dimensionUniqueName="[Downtime_factors]" displayFolder="" count="2" memberValueDatatype="130" unbalanced="0"/>
    <cacheHierarchy uniqueName="[Downtime_factors].[Operator Error]" caption="Operator Error" attribute="1" defaultMemberUniqueName="[Downtime_factors].[Operator Error].[All]" allUniqueName="[Downtime_factors].[Operator Error].[All]" dimensionUniqueName="[Downtime_factors]" displayFolder="" count="0" memberValueDatatype="130" unbalanced="0"/>
    <cacheHierarchy uniqueName="[Line_downtime].[Batch]" caption="Batch" attribute="1" defaultMemberUniqueName="[Line_downtime].[Batch].[All]" allUniqueName="[Line_downtime].[Batch].[All]" dimensionUniqueName="[Line_downtime]" displayFolder="" count="0" memberValueDatatype="20" unbalanced="0"/>
    <cacheHierarchy uniqueName="[Line_downtime].[Factor]" caption="Factor" attribute="1" defaultMemberUniqueName="[Line_downtime].[Factor].[All]" allUniqueName="[Line_downtime].[Factor].[All]" dimensionUniqueName="[Line_downtime]" displayFolder="" count="0" memberValueDatatype="130" unbalanced="0"/>
    <cacheHierarchy uniqueName="[Line_downtime].[Value (In mins)]" caption="Value (In mins)" attribute="1" defaultMemberUniqueName="[Line_downtime].[Value (In mins)].[All]" allUniqueName="[Line_downtime].[Value (In mins)].[All]" dimensionUniqueName="[Line_downtime]" displayFolder="" count="0" memberValueDatatype="20" unbalanced="0"/>
    <cacheHierarchy uniqueName="[Line_productivity].[Date]" caption="Date" attribute="1" time="1" defaultMemberUniqueName="[Line_productivity].[Date].[All]" allUniqueName="[Line_productivity].[Date].[All]" dimensionUniqueName="[Line_productivity]" displayFolder="" count="2" memberValueDatatype="7" unbalanced="0">
      <fieldsUsage count="2">
        <fieldUsage x="-1"/>
        <fieldUsage x="0"/>
      </fieldsUsage>
    </cacheHierarchy>
    <cacheHierarchy uniqueName="[Line_productivity].[Product]" caption="Product" attribute="1" defaultMemberUniqueName="[Line_productivity].[Product].[All]" allUniqueName="[Line_productivity].[Product].[All]" dimensionUniqueName="[Line_productivity]" displayFolder="" count="0" memberValueDatatype="130" unbalanced="0"/>
    <cacheHierarchy uniqueName="[Line_productivity].[Batch]" caption="Batch" attribute="1" defaultMemberUniqueName="[Line_productivity].[Batch].[All]" allUniqueName="[Line_productivity].[Batch].[All]" dimensionUniqueName="[Line_productivity]" displayFolder="" count="0" memberValueDatatype="20" unbalanced="0"/>
    <cacheHierarchy uniqueName="[Line_productivity].[Operator]" caption="Operator" attribute="1" defaultMemberUniqueName="[Line_productivity].[Operator].[All]" allUniqueName="[Line_productivity].[Operator].[All]" dimensionUniqueName="[Line_productivity]" displayFolder="" count="2" memberValueDatatype="130" unbalanced="0">
      <fieldsUsage count="2">
        <fieldUsage x="-1"/>
        <fieldUsage x="3"/>
      </fieldsUsage>
    </cacheHierarchy>
    <cacheHierarchy uniqueName="[Line_productivity].[Start Time]" caption="Start Time" attribute="1" time="1" defaultMemberUniqueName="[Line_productivity].[Start Time].[All]" allUniqueName="[Line_productivity].[Start Time].[All]" dimensionUniqueName="[Line_productivity]" displayFolder="" count="0" memberValueDatatype="7" unbalanced="0"/>
    <cacheHierarchy uniqueName="[Line_productivity].[End Time]" caption="End Time" attribute="1" time="1" defaultMemberUniqueName="[Line_productivity].[End Time].[All]" allUniqueName="[Line_productivity].[End Time].[All]" dimensionUniqueName="[Line_productivity]" displayFolder="" count="0" memberValueDatatype="7" unbalanced="0"/>
    <cacheHierarchy uniqueName="[Line_productivity].[Date (Month)]" caption="Date (Month)" attribute="1" defaultMemberUniqueName="[Line_productivity].[Date (Month)].[All]" allUniqueName="[Line_productivity].[Date (Month)].[All]" dimensionUniqueName="[Line_productivity]" displayFolder="" count="2" memberValueDatatype="130" unbalanced="0">
      <fieldsUsage count="2">
        <fieldUsage x="-1"/>
        <fieldUsage x="1"/>
      </fieldsUsage>
    </cacheHierarchy>
    <cacheHierarchy uniqueName="[Products].[Product]" caption="Product" attribute="1" defaultMemberUniqueName="[Products].[Product].[All]" allUniqueName="[Products].[Product].[All]" dimensionUniqueName="[Products]" displayFolder="" count="0" memberValueDatatype="130" unbalanced="0"/>
    <cacheHierarchy uniqueName="[Products].[Flavor]" caption="Flavor" attribute="1" defaultMemberUniqueName="[Products].[Flavor].[All]" allUniqueName="[Products].[Flavor].[All]" dimensionUniqueName="[Products]" displayFolder="" count="0" memberValueDatatype="130" unbalanced="0"/>
    <cacheHierarchy uniqueName="[Products].[Size]" caption="Size" attribute="1" defaultMemberUniqueName="[Products].[Size].[All]" allUniqueName="[Products].[Size].[All]" dimensionUniqueName="[Products]" displayFolder="" count="0" memberValueDatatype="130" unbalanced="0"/>
    <cacheHierarchy uniqueName="[Products].[Min batch time]" caption="Min batch time" attribute="1" defaultMemberUniqueName="[Products].[Min batch time].[All]" allUniqueName="[Products].[Min batch time].[All]" dimensionUniqueName="[Products]" displayFolder="" count="0" memberValueDatatype="20" unbalanced="0"/>
    <cacheHierarchy uniqueName="[Line_productivity].[Date (Month Index)]" caption="Date (Month Index)" attribute="1" defaultMemberUniqueName="[Line_productivity].[Date (Month Index)].[All]" allUniqueName="[Line_productivity].[Date (Month Index)].[All]" dimensionUniqueName="[Line_productivity]" displayFolder="" count="0" memberValueDatatype="20" unbalanced="0" hidden="1"/>
    <cacheHierarchy uniqueName="[Measures].[__XL_Count Products]" caption="__XL_Count Products" measure="1" displayFolder="" measureGroup="Products" count="0" hidden="1"/>
    <cacheHierarchy uniqueName="[Measures].[__XL_Count Line_productivity]" caption="__XL_Count Line_productivity" measure="1" displayFolder="" measureGroup="Line_productivity" count="0" hidden="1"/>
    <cacheHierarchy uniqueName="[Measures].[__XL_Count Line_downtime]" caption="__XL_Count Line_downtime" measure="1" displayFolder="" measureGroup="Line_downtime" count="0" hidden="1"/>
    <cacheHierarchy uniqueName="[Measures].[__XL_Count Downtime_factors]" caption="__XL_Count Downtime_factors" measure="1" displayFolder="" measureGroup="Downtime_factors" count="0" hidden="1"/>
    <cacheHierarchy uniqueName="[Measures].[__No measures defined]" caption="__No measures defined" measure="1" displayFolder="" count="0" hidden="1"/>
    <cacheHierarchy uniqueName="[Measures].[Count of Operator]" caption="Count of Operator" measure="1" displayFolder="" measureGroup="Line_productivity" count="0" hidden="1">
      <extLst>
        <ext xmlns:x15="http://schemas.microsoft.com/office/spreadsheetml/2010/11/main" uri="{B97F6D7D-B522-45F9-BDA1-12C45D357490}">
          <x15:cacheHierarchy aggregatedColumn="9"/>
        </ext>
      </extLst>
    </cacheHierarchy>
    <cacheHierarchy uniqueName="[Measures].[Distinct Count of Operator]" caption="Distinct Count of Operator" measure="1" displayFolder="" measureGroup="Line_productivity" count="0" hidden="1">
      <extLst>
        <ext xmlns:x15="http://schemas.microsoft.com/office/spreadsheetml/2010/11/main" uri="{B97F6D7D-B522-45F9-BDA1-12C45D357490}">
          <x15:cacheHierarchy aggregatedColumn="9"/>
        </ext>
      </extLst>
    </cacheHierarchy>
    <cacheHierarchy uniqueName="[Measures].[Sum of Batch]" caption="Sum of Batch" measure="1" displayFolder="" measureGroup="Line_productivity" count="0" hidden="1">
      <extLst>
        <ext xmlns:x15="http://schemas.microsoft.com/office/spreadsheetml/2010/11/main" uri="{B97F6D7D-B522-45F9-BDA1-12C45D357490}">
          <x15:cacheHierarchy aggregatedColumn="8"/>
        </ext>
      </extLst>
    </cacheHierarchy>
    <cacheHierarchy uniqueName="[Measures].[Distinct Count of Batch]" caption="Distinct Count of Batch" measure="1" displayFolder="" measureGroup="Line_productivity" count="0" hidden="1">
      <extLst>
        <ext xmlns:x15="http://schemas.microsoft.com/office/spreadsheetml/2010/11/main" uri="{B97F6D7D-B522-45F9-BDA1-12C45D357490}">
          <x15:cacheHierarchy aggregatedColumn="8"/>
        </ext>
      </extLst>
    </cacheHierarchy>
    <cacheHierarchy uniqueName="[Measures].[Sum of Value (In mins)]" caption="Sum of Value (In mins)" measure="1" displayFolder="" measureGroup="Line_downtime" count="0" oneField="1" hidden="1">
      <fieldsUsage count="1">
        <fieldUsage x="2"/>
      </fieldsUsage>
      <extLst>
        <ext xmlns:x15="http://schemas.microsoft.com/office/spreadsheetml/2010/11/main" uri="{B97F6D7D-B522-45F9-BDA1-12C45D357490}">
          <x15:cacheHierarchy aggregatedColumn="5"/>
        </ext>
      </extLst>
    </cacheHierarchy>
    <cacheHierarchy uniqueName="[Measures].[Average of Value (In mins)]" caption="Average of Value (In mins)" measure="1" displayFolder="" measureGroup="Line_downtime" count="0" hidden="1">
      <extLst>
        <ext xmlns:x15="http://schemas.microsoft.com/office/spreadsheetml/2010/11/main" uri="{B97F6D7D-B522-45F9-BDA1-12C45D357490}">
          <x15:cacheHierarchy aggregatedColumn="5"/>
        </ext>
      </extLst>
    </cacheHierarchy>
    <cacheHierarchy uniqueName="[Measures].[Count of Factor]" caption="Count of Factor" measure="1" displayFolder="" measureGroup="Line_downtime" count="0" hidden="1">
      <extLst>
        <ext xmlns:x15="http://schemas.microsoft.com/office/spreadsheetml/2010/11/main" uri="{B97F6D7D-B522-45F9-BDA1-12C45D357490}">
          <x15:cacheHierarchy aggregatedColumn="4"/>
        </ext>
      </extLst>
    </cacheHierarchy>
  </cacheHierarchies>
  <kpis count="0"/>
  <dimensions count="5">
    <dimension name="Downtime_factors" uniqueName="[Downtime_factors]" caption="Downtime_factors"/>
    <dimension name="Line_downtime" uniqueName="[Line_downtime]" caption="Line_downtime"/>
    <dimension name="Line_productivity" uniqueName="[Line_productivity]" caption="Line_productivity"/>
    <dimension measure="1" name="Measures" uniqueName="[Measures]" caption="Measures"/>
    <dimension name="Products" uniqueName="[Products]" caption="Products"/>
  </dimensions>
  <measureGroups count="4">
    <measureGroup name="Downtime_factors" caption="Downtime_factors"/>
    <measureGroup name="Line_downtime" caption="Line_downtime"/>
    <measureGroup name="Line_productivity" caption="Line_productivity"/>
    <measureGroup name="Products" caption="Products"/>
  </measureGroups>
  <maps count="8">
    <map measureGroup="0" dimension="0"/>
    <map measureGroup="1" dimension="0"/>
    <map measureGroup="1" dimension="1"/>
    <map measureGroup="1" dimension="2"/>
    <map measureGroup="1" dimension="4"/>
    <map measureGroup="2" dimension="2"/>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kshi" refreshedDate="46308.470266782409" backgroundQuery="1" createdVersion="8" refreshedVersion="8" minRefreshableVersion="3" recordCount="0" supportSubquery="1" supportAdvancedDrill="1" xr:uid="{43061A3C-4860-4316-805E-BED971CE0C15}">
  <cacheSource type="external" connectionId="5"/>
  <cacheFields count="3">
    <cacheField name="[Measures].[Sum of Value (In mins)]" caption="Sum of Value (In mins)" numFmtId="0" hierarchy="27" level="32767"/>
    <cacheField name="[Products].[Flavor].[Flavor]" caption="Flavor" numFmtId="0" hierarchy="14" level="1">
      <sharedItems count="5">
        <s v="Cola"/>
        <s v="Diet Cola"/>
        <s v="Lemon lime"/>
        <s v="Orange"/>
        <s v="Root Beer"/>
      </sharedItems>
    </cacheField>
    <cacheField name="[Line_productivity].[Operator].[Operator]" caption="Operator" numFmtId="0" hierarchy="9" level="1">
      <sharedItems containsSemiMixedTypes="0" containsNonDate="0" containsString="0"/>
    </cacheField>
  </cacheFields>
  <cacheHierarchies count="30">
    <cacheHierarchy uniqueName="[Downtime_factors].[Factor]" caption="Factor" attribute="1" defaultMemberUniqueName="[Downtime_factors].[Factor].[All]" allUniqueName="[Downtime_factors].[Factor].[All]" dimensionUniqueName="[Downtime_factors]" displayFolder="" count="0" memberValueDatatype="20" unbalanced="0"/>
    <cacheHierarchy uniqueName="[Downtime_factors].[Description]" caption="Description" attribute="1" defaultMemberUniqueName="[Downtime_factors].[Description].[All]" allUniqueName="[Downtime_factors].[Description].[All]" dimensionUniqueName="[Downtime_factors]" displayFolder="" count="2" memberValueDatatype="130" unbalanced="0"/>
    <cacheHierarchy uniqueName="[Downtime_factors].[Operator Error]" caption="Operator Error" attribute="1" defaultMemberUniqueName="[Downtime_factors].[Operator Error].[All]" allUniqueName="[Downtime_factors].[Operator Error].[All]" dimensionUniqueName="[Downtime_factors]" displayFolder="" count="0" memberValueDatatype="130" unbalanced="0"/>
    <cacheHierarchy uniqueName="[Line_downtime].[Batch]" caption="Batch" attribute="1" defaultMemberUniqueName="[Line_downtime].[Batch].[All]" allUniqueName="[Line_downtime].[Batch].[All]" dimensionUniqueName="[Line_downtime]" displayFolder="" count="0" memberValueDatatype="20" unbalanced="0"/>
    <cacheHierarchy uniqueName="[Line_downtime].[Factor]" caption="Factor" attribute="1" defaultMemberUniqueName="[Line_downtime].[Factor].[All]" allUniqueName="[Line_downtime].[Factor].[All]" dimensionUniqueName="[Line_downtime]" displayFolder="" count="0" memberValueDatatype="130" unbalanced="0"/>
    <cacheHierarchy uniqueName="[Line_downtime].[Value (In mins)]" caption="Value (In mins)" attribute="1" defaultMemberUniqueName="[Line_downtime].[Value (In mins)].[All]" allUniqueName="[Line_downtime].[Value (In mins)].[All]" dimensionUniqueName="[Line_downtime]" displayFolder="" count="0" memberValueDatatype="20" unbalanced="0"/>
    <cacheHierarchy uniqueName="[Line_productivity].[Date]" caption="Date" attribute="1" time="1" defaultMemberUniqueName="[Line_productivity].[Date].[All]" allUniqueName="[Line_productivity].[Date].[All]" dimensionUniqueName="[Line_productivity]" displayFolder="" count="2" memberValueDatatype="7" unbalanced="0"/>
    <cacheHierarchy uniqueName="[Line_productivity].[Product]" caption="Product" attribute="1" defaultMemberUniqueName="[Line_productivity].[Product].[All]" allUniqueName="[Line_productivity].[Product].[All]" dimensionUniqueName="[Line_productivity]" displayFolder="" count="0" memberValueDatatype="130" unbalanced="0"/>
    <cacheHierarchy uniqueName="[Line_productivity].[Batch]" caption="Batch" attribute="1" defaultMemberUniqueName="[Line_productivity].[Batch].[All]" allUniqueName="[Line_productivity].[Batch].[All]" dimensionUniqueName="[Line_productivity]" displayFolder="" count="0" memberValueDatatype="20" unbalanced="0"/>
    <cacheHierarchy uniqueName="[Line_productivity].[Operator]" caption="Operator" attribute="1" defaultMemberUniqueName="[Line_productivity].[Operator].[All]" allUniqueName="[Line_productivity].[Operator].[All]" dimensionUniqueName="[Line_productivity]" displayFolder="" count="2" memberValueDatatype="130" unbalanced="0">
      <fieldsUsage count="2">
        <fieldUsage x="-1"/>
        <fieldUsage x="2"/>
      </fieldsUsage>
    </cacheHierarchy>
    <cacheHierarchy uniqueName="[Line_productivity].[Start Time]" caption="Start Time" attribute="1" time="1" defaultMemberUniqueName="[Line_productivity].[Start Time].[All]" allUniqueName="[Line_productivity].[Start Time].[All]" dimensionUniqueName="[Line_productivity]" displayFolder="" count="0" memberValueDatatype="7" unbalanced="0"/>
    <cacheHierarchy uniqueName="[Line_productivity].[End Time]" caption="End Time" attribute="1" time="1" defaultMemberUniqueName="[Line_productivity].[End Time].[All]" allUniqueName="[Line_productivity].[End Time].[All]" dimensionUniqueName="[Line_productivity]" displayFolder="" count="0" memberValueDatatype="7" unbalanced="0"/>
    <cacheHierarchy uniqueName="[Line_productivity].[Date (Month)]" caption="Date (Month)" attribute="1" defaultMemberUniqueName="[Line_productivity].[Date (Month)].[All]" allUniqueName="[Line_productivity].[Date (Month)].[All]" dimensionUniqueName="[Line_productivity]" displayFolder="" count="0" memberValueDatatype="130" unbalanced="0"/>
    <cacheHierarchy uniqueName="[Products].[Product]" caption="Product" attribute="1" defaultMemberUniqueName="[Products].[Product].[All]" allUniqueName="[Products].[Product].[All]" dimensionUniqueName="[Products]" displayFolder="" count="0" memberValueDatatype="130" unbalanced="0"/>
    <cacheHierarchy uniqueName="[Products].[Flavor]" caption="Flavor" attribute="1" defaultMemberUniqueName="[Products].[Flavor].[All]" allUniqueName="[Products].[Flavor].[All]" dimensionUniqueName="[Products]" displayFolder="" count="2" memberValueDatatype="130" unbalanced="0">
      <fieldsUsage count="2">
        <fieldUsage x="-1"/>
        <fieldUsage x="1"/>
      </fieldsUsage>
    </cacheHierarchy>
    <cacheHierarchy uniqueName="[Products].[Size]" caption="Size" attribute="1" defaultMemberUniqueName="[Products].[Size].[All]" allUniqueName="[Products].[Size].[All]" dimensionUniqueName="[Products]" displayFolder="" count="0" memberValueDatatype="130" unbalanced="0"/>
    <cacheHierarchy uniqueName="[Products].[Min batch time]" caption="Min batch time" attribute="1" defaultMemberUniqueName="[Products].[Min batch time].[All]" allUniqueName="[Products].[Min batch time].[All]" dimensionUniqueName="[Products]" displayFolder="" count="0" memberValueDatatype="20" unbalanced="0"/>
    <cacheHierarchy uniqueName="[Line_productivity].[Date (Month Index)]" caption="Date (Month Index)" attribute="1" defaultMemberUniqueName="[Line_productivity].[Date (Month Index)].[All]" allUniqueName="[Line_productivity].[Date (Month Index)].[All]" dimensionUniqueName="[Line_productivity]" displayFolder="" count="0" memberValueDatatype="20" unbalanced="0" hidden="1"/>
    <cacheHierarchy uniqueName="[Measures].[__XL_Count Products]" caption="__XL_Count Products" measure="1" displayFolder="" measureGroup="Products" count="0" hidden="1"/>
    <cacheHierarchy uniqueName="[Measures].[__XL_Count Line_productivity]" caption="__XL_Count Line_productivity" measure="1" displayFolder="" measureGroup="Line_productivity" count="0" hidden="1"/>
    <cacheHierarchy uniqueName="[Measures].[__XL_Count Line_downtime]" caption="__XL_Count Line_downtime" measure="1" displayFolder="" measureGroup="Line_downtime" count="0" hidden="1"/>
    <cacheHierarchy uniqueName="[Measures].[__XL_Count Downtime_factors]" caption="__XL_Count Downtime_factors" measure="1" displayFolder="" measureGroup="Downtime_factors" count="0" hidden="1"/>
    <cacheHierarchy uniqueName="[Measures].[__No measures defined]" caption="__No measures defined" measure="1" displayFolder="" count="0" hidden="1"/>
    <cacheHierarchy uniqueName="[Measures].[Count of Operator]" caption="Count of Operator" measure="1" displayFolder="" measureGroup="Line_productivity" count="0" hidden="1">
      <extLst>
        <ext xmlns:x15="http://schemas.microsoft.com/office/spreadsheetml/2010/11/main" uri="{B97F6D7D-B522-45F9-BDA1-12C45D357490}">
          <x15:cacheHierarchy aggregatedColumn="9"/>
        </ext>
      </extLst>
    </cacheHierarchy>
    <cacheHierarchy uniqueName="[Measures].[Distinct Count of Operator]" caption="Distinct Count of Operator" measure="1" displayFolder="" measureGroup="Line_productivity" count="0" hidden="1">
      <extLst>
        <ext xmlns:x15="http://schemas.microsoft.com/office/spreadsheetml/2010/11/main" uri="{B97F6D7D-B522-45F9-BDA1-12C45D357490}">
          <x15:cacheHierarchy aggregatedColumn="9"/>
        </ext>
      </extLst>
    </cacheHierarchy>
    <cacheHierarchy uniqueName="[Measures].[Sum of Batch]" caption="Sum of Batch" measure="1" displayFolder="" measureGroup="Line_productivity" count="0" hidden="1">
      <extLst>
        <ext xmlns:x15="http://schemas.microsoft.com/office/spreadsheetml/2010/11/main" uri="{B97F6D7D-B522-45F9-BDA1-12C45D357490}">
          <x15:cacheHierarchy aggregatedColumn="8"/>
        </ext>
      </extLst>
    </cacheHierarchy>
    <cacheHierarchy uniqueName="[Measures].[Distinct Count of Batch]" caption="Distinct Count of Batch" measure="1" displayFolder="" measureGroup="Line_productivity" count="0" hidden="1">
      <extLst>
        <ext xmlns:x15="http://schemas.microsoft.com/office/spreadsheetml/2010/11/main" uri="{B97F6D7D-B522-45F9-BDA1-12C45D357490}">
          <x15:cacheHierarchy aggregatedColumn="8"/>
        </ext>
      </extLst>
    </cacheHierarchy>
    <cacheHierarchy uniqueName="[Measures].[Sum of Value (In mins)]" caption="Sum of Value (In mins)" measure="1" displayFolder="" measureGroup="Line_downtime" count="0" oneField="1" hidden="1">
      <fieldsUsage count="1">
        <fieldUsage x="0"/>
      </fieldsUsage>
      <extLst>
        <ext xmlns:x15="http://schemas.microsoft.com/office/spreadsheetml/2010/11/main" uri="{B97F6D7D-B522-45F9-BDA1-12C45D357490}">
          <x15:cacheHierarchy aggregatedColumn="5"/>
        </ext>
      </extLst>
    </cacheHierarchy>
    <cacheHierarchy uniqueName="[Measures].[Average of Value (In mins)]" caption="Average of Value (In mins)" measure="1" displayFolder="" measureGroup="Line_downtime" count="0" hidden="1">
      <extLst>
        <ext xmlns:x15="http://schemas.microsoft.com/office/spreadsheetml/2010/11/main" uri="{B97F6D7D-B522-45F9-BDA1-12C45D357490}">
          <x15:cacheHierarchy aggregatedColumn="5"/>
        </ext>
      </extLst>
    </cacheHierarchy>
    <cacheHierarchy uniqueName="[Measures].[Count of Factor]" caption="Count of Factor" measure="1" displayFolder="" measureGroup="Line_downtime" count="0" hidden="1">
      <extLst>
        <ext xmlns:x15="http://schemas.microsoft.com/office/spreadsheetml/2010/11/main" uri="{B97F6D7D-B522-45F9-BDA1-12C45D357490}">
          <x15:cacheHierarchy aggregatedColumn="4"/>
        </ext>
      </extLst>
    </cacheHierarchy>
  </cacheHierarchies>
  <kpis count="0"/>
  <dimensions count="5">
    <dimension name="Downtime_factors" uniqueName="[Downtime_factors]" caption="Downtime_factors"/>
    <dimension name="Line_downtime" uniqueName="[Line_downtime]" caption="Line_downtime"/>
    <dimension name="Line_productivity" uniqueName="[Line_productivity]" caption="Line_productivity"/>
    <dimension measure="1" name="Measures" uniqueName="[Measures]" caption="Measures"/>
    <dimension name="Products" uniqueName="[Products]" caption="Products"/>
  </dimensions>
  <measureGroups count="4">
    <measureGroup name="Downtime_factors" caption="Downtime_factors"/>
    <measureGroup name="Line_downtime" caption="Line_downtime"/>
    <measureGroup name="Line_productivity" caption="Line_productivity"/>
    <measureGroup name="Products" caption="Products"/>
  </measureGroups>
  <maps count="8">
    <map measureGroup="0" dimension="0"/>
    <map measureGroup="1" dimension="0"/>
    <map measureGroup="1" dimension="1"/>
    <map measureGroup="1" dimension="2"/>
    <map measureGroup="1" dimension="4"/>
    <map measureGroup="2" dimension="2"/>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kshi" refreshedDate="46308.470267476849" backgroundQuery="1" createdVersion="8" refreshedVersion="8" minRefreshableVersion="3" recordCount="0" supportSubquery="1" supportAdvancedDrill="1" xr:uid="{91809D36-15A6-4DEA-BCC1-D92B1A268443}">
  <cacheSource type="external" connectionId="5"/>
  <cacheFields count="3">
    <cacheField name="[Downtime_factors].[Description].[Description]" caption="Description" numFmtId="0" hierarchy="1" level="1">
      <sharedItems count="5">
        <s v="Batch change"/>
        <s v="Batch coding error"/>
        <s v="Inventory shortage"/>
        <s v="Machine adjustment"/>
        <s v="Machine failure"/>
      </sharedItems>
    </cacheField>
    <cacheField name="[Measures].[Sum of Value (In mins)]" caption="Sum of Value (In mins)" numFmtId="0" hierarchy="27" level="32767"/>
    <cacheField name="[Line_productivity].[Operator].[Operator]" caption="Operator" numFmtId="0" hierarchy="9" level="1">
      <sharedItems containsSemiMixedTypes="0" containsNonDate="0" containsString="0"/>
    </cacheField>
  </cacheFields>
  <cacheHierarchies count="30">
    <cacheHierarchy uniqueName="[Downtime_factors].[Factor]" caption="Factor" attribute="1" defaultMemberUniqueName="[Downtime_factors].[Factor].[All]" allUniqueName="[Downtime_factors].[Factor].[All]" dimensionUniqueName="[Downtime_factors]" displayFolder="" count="0" memberValueDatatype="20" unbalanced="0"/>
    <cacheHierarchy uniqueName="[Downtime_factors].[Description]" caption="Description" attribute="1" defaultMemberUniqueName="[Downtime_factors].[Description].[All]" allUniqueName="[Downtime_factors].[Description].[All]" dimensionUniqueName="[Downtime_factors]" displayFolder="" count="2" memberValueDatatype="130" unbalanced="0">
      <fieldsUsage count="2">
        <fieldUsage x="-1"/>
        <fieldUsage x="0"/>
      </fieldsUsage>
    </cacheHierarchy>
    <cacheHierarchy uniqueName="[Downtime_factors].[Operator Error]" caption="Operator Error" attribute="1" defaultMemberUniqueName="[Downtime_factors].[Operator Error].[All]" allUniqueName="[Downtime_factors].[Operator Error].[All]" dimensionUniqueName="[Downtime_factors]" displayFolder="" count="0" memberValueDatatype="130" unbalanced="0"/>
    <cacheHierarchy uniqueName="[Line_downtime].[Batch]" caption="Batch" attribute="1" defaultMemberUniqueName="[Line_downtime].[Batch].[All]" allUniqueName="[Line_downtime].[Batch].[All]" dimensionUniqueName="[Line_downtime]" displayFolder="" count="0" memberValueDatatype="20" unbalanced="0"/>
    <cacheHierarchy uniqueName="[Line_downtime].[Factor]" caption="Factor" attribute="1" defaultMemberUniqueName="[Line_downtime].[Factor].[All]" allUniqueName="[Line_downtime].[Factor].[All]" dimensionUniqueName="[Line_downtime]" displayFolder="" count="0" memberValueDatatype="130" unbalanced="0"/>
    <cacheHierarchy uniqueName="[Line_downtime].[Value (In mins)]" caption="Value (In mins)" attribute="1" defaultMemberUniqueName="[Line_downtime].[Value (In mins)].[All]" allUniqueName="[Line_downtime].[Value (In mins)].[All]" dimensionUniqueName="[Line_downtime]" displayFolder="" count="0" memberValueDatatype="20" unbalanced="0"/>
    <cacheHierarchy uniqueName="[Line_productivity].[Date]" caption="Date" attribute="1" time="1" defaultMemberUniqueName="[Line_productivity].[Date].[All]" allUniqueName="[Line_productivity].[Date].[All]" dimensionUniqueName="[Line_productivity]" displayFolder="" count="2" memberValueDatatype="7" unbalanced="0"/>
    <cacheHierarchy uniqueName="[Line_productivity].[Product]" caption="Product" attribute="1" defaultMemberUniqueName="[Line_productivity].[Product].[All]" allUniqueName="[Line_productivity].[Product].[All]" dimensionUniqueName="[Line_productivity]" displayFolder="" count="0" memberValueDatatype="130" unbalanced="0"/>
    <cacheHierarchy uniqueName="[Line_productivity].[Batch]" caption="Batch" attribute="1" defaultMemberUniqueName="[Line_productivity].[Batch].[All]" allUniqueName="[Line_productivity].[Batch].[All]" dimensionUniqueName="[Line_productivity]" displayFolder="" count="0" memberValueDatatype="20" unbalanced="0"/>
    <cacheHierarchy uniqueName="[Line_productivity].[Operator]" caption="Operator" attribute="1" defaultMemberUniqueName="[Line_productivity].[Operator].[All]" allUniqueName="[Line_productivity].[Operator].[All]" dimensionUniqueName="[Line_productivity]" displayFolder="" count="2" memberValueDatatype="130" unbalanced="0">
      <fieldsUsage count="2">
        <fieldUsage x="-1"/>
        <fieldUsage x="2"/>
      </fieldsUsage>
    </cacheHierarchy>
    <cacheHierarchy uniqueName="[Line_productivity].[Start Time]" caption="Start Time" attribute="1" time="1" defaultMemberUniqueName="[Line_productivity].[Start Time].[All]" allUniqueName="[Line_productivity].[Start Time].[All]" dimensionUniqueName="[Line_productivity]" displayFolder="" count="0" memberValueDatatype="7" unbalanced="0"/>
    <cacheHierarchy uniqueName="[Line_productivity].[End Time]" caption="End Time" attribute="1" time="1" defaultMemberUniqueName="[Line_productivity].[End Time].[All]" allUniqueName="[Line_productivity].[End Time].[All]" dimensionUniqueName="[Line_productivity]" displayFolder="" count="0" memberValueDatatype="7" unbalanced="0"/>
    <cacheHierarchy uniqueName="[Line_productivity].[Date (Month)]" caption="Date (Month)" attribute="1" defaultMemberUniqueName="[Line_productivity].[Date (Month)].[All]" allUniqueName="[Line_productivity].[Date (Month)].[All]" dimensionUniqueName="[Line_productivity]" displayFolder="" count="0" memberValueDatatype="130" unbalanced="0"/>
    <cacheHierarchy uniqueName="[Products].[Product]" caption="Product" attribute="1" defaultMemberUniqueName="[Products].[Product].[All]" allUniqueName="[Products].[Product].[All]" dimensionUniqueName="[Products]" displayFolder="" count="0" memberValueDatatype="130" unbalanced="0"/>
    <cacheHierarchy uniqueName="[Products].[Flavor]" caption="Flavor" attribute="1" defaultMemberUniqueName="[Products].[Flavor].[All]" allUniqueName="[Products].[Flavor].[All]" dimensionUniqueName="[Products]" displayFolder="" count="0" memberValueDatatype="130" unbalanced="0"/>
    <cacheHierarchy uniqueName="[Products].[Size]" caption="Size" attribute="1" defaultMemberUniqueName="[Products].[Size].[All]" allUniqueName="[Products].[Size].[All]" dimensionUniqueName="[Products]" displayFolder="" count="0" memberValueDatatype="130" unbalanced="0"/>
    <cacheHierarchy uniqueName="[Products].[Min batch time]" caption="Min batch time" attribute="1" defaultMemberUniqueName="[Products].[Min batch time].[All]" allUniqueName="[Products].[Min batch time].[All]" dimensionUniqueName="[Products]" displayFolder="" count="0" memberValueDatatype="20" unbalanced="0"/>
    <cacheHierarchy uniqueName="[Line_productivity].[Date (Month Index)]" caption="Date (Month Index)" attribute="1" defaultMemberUniqueName="[Line_productivity].[Date (Month Index)].[All]" allUniqueName="[Line_productivity].[Date (Month Index)].[All]" dimensionUniqueName="[Line_productivity]" displayFolder="" count="0" memberValueDatatype="20" unbalanced="0" hidden="1"/>
    <cacheHierarchy uniqueName="[Measures].[__XL_Count Products]" caption="__XL_Count Products" measure="1" displayFolder="" measureGroup="Products" count="0" hidden="1"/>
    <cacheHierarchy uniqueName="[Measures].[__XL_Count Line_productivity]" caption="__XL_Count Line_productivity" measure="1" displayFolder="" measureGroup="Line_productivity" count="0" hidden="1"/>
    <cacheHierarchy uniqueName="[Measures].[__XL_Count Line_downtime]" caption="__XL_Count Line_downtime" measure="1" displayFolder="" measureGroup="Line_downtime" count="0" hidden="1"/>
    <cacheHierarchy uniqueName="[Measures].[__XL_Count Downtime_factors]" caption="__XL_Count Downtime_factors" measure="1" displayFolder="" measureGroup="Downtime_factors" count="0" hidden="1"/>
    <cacheHierarchy uniqueName="[Measures].[__No measures defined]" caption="__No measures defined" measure="1" displayFolder="" count="0" hidden="1"/>
    <cacheHierarchy uniqueName="[Measures].[Count of Operator]" caption="Count of Operator" measure="1" displayFolder="" measureGroup="Line_productivity" count="0" hidden="1">
      <extLst>
        <ext xmlns:x15="http://schemas.microsoft.com/office/spreadsheetml/2010/11/main" uri="{B97F6D7D-B522-45F9-BDA1-12C45D357490}">
          <x15:cacheHierarchy aggregatedColumn="9"/>
        </ext>
      </extLst>
    </cacheHierarchy>
    <cacheHierarchy uniqueName="[Measures].[Distinct Count of Operator]" caption="Distinct Count of Operator" measure="1" displayFolder="" measureGroup="Line_productivity" count="0" hidden="1">
      <extLst>
        <ext xmlns:x15="http://schemas.microsoft.com/office/spreadsheetml/2010/11/main" uri="{B97F6D7D-B522-45F9-BDA1-12C45D357490}">
          <x15:cacheHierarchy aggregatedColumn="9"/>
        </ext>
      </extLst>
    </cacheHierarchy>
    <cacheHierarchy uniqueName="[Measures].[Sum of Batch]" caption="Sum of Batch" measure="1" displayFolder="" measureGroup="Line_productivity" count="0" hidden="1">
      <extLst>
        <ext xmlns:x15="http://schemas.microsoft.com/office/spreadsheetml/2010/11/main" uri="{B97F6D7D-B522-45F9-BDA1-12C45D357490}">
          <x15:cacheHierarchy aggregatedColumn="8"/>
        </ext>
      </extLst>
    </cacheHierarchy>
    <cacheHierarchy uniqueName="[Measures].[Distinct Count of Batch]" caption="Distinct Count of Batch" measure="1" displayFolder="" measureGroup="Line_productivity" count="0" hidden="1">
      <extLst>
        <ext xmlns:x15="http://schemas.microsoft.com/office/spreadsheetml/2010/11/main" uri="{B97F6D7D-B522-45F9-BDA1-12C45D357490}">
          <x15:cacheHierarchy aggregatedColumn="8"/>
        </ext>
      </extLst>
    </cacheHierarchy>
    <cacheHierarchy uniqueName="[Measures].[Sum of Value (In mins)]" caption="Sum of Value (In mins)" measure="1" displayFolder="" measureGroup="Line_downtime" count="0" oneField="1" hidden="1">
      <fieldsUsage count="1">
        <fieldUsage x="1"/>
      </fieldsUsage>
      <extLst>
        <ext xmlns:x15="http://schemas.microsoft.com/office/spreadsheetml/2010/11/main" uri="{B97F6D7D-B522-45F9-BDA1-12C45D357490}">
          <x15:cacheHierarchy aggregatedColumn="5"/>
        </ext>
      </extLst>
    </cacheHierarchy>
    <cacheHierarchy uniqueName="[Measures].[Average of Value (In mins)]" caption="Average of Value (In mins)" measure="1" displayFolder="" measureGroup="Line_downtime" count="0" hidden="1">
      <extLst>
        <ext xmlns:x15="http://schemas.microsoft.com/office/spreadsheetml/2010/11/main" uri="{B97F6D7D-B522-45F9-BDA1-12C45D357490}">
          <x15:cacheHierarchy aggregatedColumn="5"/>
        </ext>
      </extLst>
    </cacheHierarchy>
    <cacheHierarchy uniqueName="[Measures].[Count of Factor]" caption="Count of Factor" measure="1" displayFolder="" measureGroup="Line_downtime" count="0" hidden="1">
      <extLst>
        <ext xmlns:x15="http://schemas.microsoft.com/office/spreadsheetml/2010/11/main" uri="{B97F6D7D-B522-45F9-BDA1-12C45D357490}">
          <x15:cacheHierarchy aggregatedColumn="4"/>
        </ext>
      </extLst>
    </cacheHierarchy>
  </cacheHierarchies>
  <kpis count="0"/>
  <dimensions count="5">
    <dimension name="Downtime_factors" uniqueName="[Downtime_factors]" caption="Downtime_factors"/>
    <dimension name="Line_downtime" uniqueName="[Line_downtime]" caption="Line_downtime"/>
    <dimension name="Line_productivity" uniqueName="[Line_productivity]" caption="Line_productivity"/>
    <dimension measure="1" name="Measures" uniqueName="[Measures]" caption="Measures"/>
    <dimension name="Products" uniqueName="[Products]" caption="Products"/>
  </dimensions>
  <measureGroups count="4">
    <measureGroup name="Downtime_factors" caption="Downtime_factors"/>
    <measureGroup name="Line_downtime" caption="Line_downtime"/>
    <measureGroup name="Line_productivity" caption="Line_productivity"/>
    <measureGroup name="Products" caption="Products"/>
  </measureGroups>
  <maps count="8">
    <map measureGroup="0" dimension="0"/>
    <map measureGroup="1" dimension="0"/>
    <map measureGroup="1" dimension="1"/>
    <map measureGroup="1" dimension="2"/>
    <map measureGroup="1" dimension="4"/>
    <map measureGroup="2" dimension="2"/>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kshi" refreshedDate="46308.470267939818" backgroundQuery="1" createdVersion="8" refreshedVersion="8" minRefreshableVersion="3" recordCount="0" supportSubquery="1" supportAdvancedDrill="1" xr:uid="{8FFBEC12-7340-48B1-925E-BAA5BF1B3F1A}">
  <cacheSource type="external" connectionId="5"/>
  <cacheFields count="3">
    <cacheField name="[Line_productivity].[Operator].[Operator]" caption="Operator" numFmtId="0" hierarchy="9" level="1">
      <sharedItems count="4">
        <s v="Charlie"/>
        <s v="Dee"/>
        <s v="Dennis"/>
        <s v="Mac"/>
      </sharedItems>
    </cacheField>
    <cacheField name="[Measures].[Sum of Value (In mins)]" caption="Sum of Value (In mins)" numFmtId="0" hierarchy="27" level="32767"/>
    <cacheField name="[Downtime_factors].[Operator Error].[Operator Error]" caption="Operator Error" numFmtId="0" hierarchy="2" level="1">
      <sharedItems count="2">
        <s v="No"/>
        <s v="Yes"/>
      </sharedItems>
    </cacheField>
  </cacheFields>
  <cacheHierarchies count="30">
    <cacheHierarchy uniqueName="[Downtime_factors].[Factor]" caption="Factor" attribute="1" defaultMemberUniqueName="[Downtime_factors].[Factor].[All]" allUniqueName="[Downtime_factors].[Factor].[All]" dimensionUniqueName="[Downtime_factors]" displayFolder="" count="0" memberValueDatatype="20" unbalanced="0"/>
    <cacheHierarchy uniqueName="[Downtime_factors].[Description]" caption="Description" attribute="1" defaultMemberUniqueName="[Downtime_factors].[Description].[All]" allUniqueName="[Downtime_factors].[Description].[All]" dimensionUniqueName="[Downtime_factors]" displayFolder="" count="2" memberValueDatatype="130" unbalanced="0"/>
    <cacheHierarchy uniqueName="[Downtime_factors].[Operator Error]" caption="Operator Error" attribute="1" defaultMemberUniqueName="[Downtime_factors].[Operator Error].[All]" allUniqueName="[Downtime_factors].[Operator Error].[All]" dimensionUniqueName="[Downtime_factors]" displayFolder="" count="2" memberValueDatatype="130" unbalanced="0">
      <fieldsUsage count="2">
        <fieldUsage x="-1"/>
        <fieldUsage x="2"/>
      </fieldsUsage>
    </cacheHierarchy>
    <cacheHierarchy uniqueName="[Line_downtime].[Batch]" caption="Batch" attribute="1" defaultMemberUniqueName="[Line_downtime].[Batch].[All]" allUniqueName="[Line_downtime].[Batch].[All]" dimensionUniqueName="[Line_downtime]" displayFolder="" count="0" memberValueDatatype="20" unbalanced="0"/>
    <cacheHierarchy uniqueName="[Line_downtime].[Factor]" caption="Factor" attribute="1" defaultMemberUniqueName="[Line_downtime].[Factor].[All]" allUniqueName="[Line_downtime].[Factor].[All]" dimensionUniqueName="[Line_downtime]" displayFolder="" count="0" memberValueDatatype="130" unbalanced="0"/>
    <cacheHierarchy uniqueName="[Line_downtime].[Value (In mins)]" caption="Value (In mins)" attribute="1" defaultMemberUniqueName="[Line_downtime].[Value (In mins)].[All]" allUniqueName="[Line_downtime].[Value (In mins)].[All]" dimensionUniqueName="[Line_downtime]" displayFolder="" count="0" memberValueDatatype="20" unbalanced="0"/>
    <cacheHierarchy uniqueName="[Line_productivity].[Date]" caption="Date" attribute="1" time="1" defaultMemberUniqueName="[Line_productivity].[Date].[All]" allUniqueName="[Line_productivity].[Date].[All]" dimensionUniqueName="[Line_productivity]" displayFolder="" count="2" memberValueDatatype="7" unbalanced="0"/>
    <cacheHierarchy uniqueName="[Line_productivity].[Product]" caption="Product" attribute="1" defaultMemberUniqueName="[Line_productivity].[Product].[All]" allUniqueName="[Line_productivity].[Product].[All]" dimensionUniqueName="[Line_productivity]" displayFolder="" count="0" memberValueDatatype="130" unbalanced="0"/>
    <cacheHierarchy uniqueName="[Line_productivity].[Batch]" caption="Batch" attribute="1" defaultMemberUniqueName="[Line_productivity].[Batch].[All]" allUniqueName="[Line_productivity].[Batch].[All]" dimensionUniqueName="[Line_productivity]" displayFolder="" count="0" memberValueDatatype="20" unbalanced="0"/>
    <cacheHierarchy uniqueName="[Line_productivity].[Operator]" caption="Operator" attribute="1" defaultMemberUniqueName="[Line_productivity].[Operator].[All]" allUniqueName="[Line_productivity].[Operator].[All]" dimensionUniqueName="[Line_productivity]" displayFolder="" count="2" memberValueDatatype="130" unbalanced="0">
      <fieldsUsage count="2">
        <fieldUsage x="-1"/>
        <fieldUsage x="0"/>
      </fieldsUsage>
    </cacheHierarchy>
    <cacheHierarchy uniqueName="[Line_productivity].[Start Time]" caption="Start Time" attribute="1" time="1" defaultMemberUniqueName="[Line_productivity].[Start Time].[All]" allUniqueName="[Line_productivity].[Start Time].[All]" dimensionUniqueName="[Line_productivity]" displayFolder="" count="0" memberValueDatatype="7" unbalanced="0"/>
    <cacheHierarchy uniqueName="[Line_productivity].[End Time]" caption="End Time" attribute="1" time="1" defaultMemberUniqueName="[Line_productivity].[End Time].[All]" allUniqueName="[Line_productivity].[End Time].[All]" dimensionUniqueName="[Line_productivity]" displayFolder="" count="0" memberValueDatatype="7" unbalanced="0"/>
    <cacheHierarchy uniqueName="[Line_productivity].[Date (Month)]" caption="Date (Month)" attribute="1" defaultMemberUniqueName="[Line_productivity].[Date (Month)].[All]" allUniqueName="[Line_productivity].[Date (Month)].[All]" dimensionUniqueName="[Line_productivity]" displayFolder="" count="0" memberValueDatatype="130" unbalanced="0"/>
    <cacheHierarchy uniqueName="[Products].[Product]" caption="Product" attribute="1" defaultMemberUniqueName="[Products].[Product].[All]" allUniqueName="[Products].[Product].[All]" dimensionUniqueName="[Products]" displayFolder="" count="0" memberValueDatatype="130" unbalanced="0"/>
    <cacheHierarchy uniqueName="[Products].[Flavor]" caption="Flavor" attribute="1" defaultMemberUniqueName="[Products].[Flavor].[All]" allUniqueName="[Products].[Flavor].[All]" dimensionUniqueName="[Products]" displayFolder="" count="0" memberValueDatatype="130" unbalanced="0"/>
    <cacheHierarchy uniqueName="[Products].[Size]" caption="Size" attribute="1" defaultMemberUniqueName="[Products].[Size].[All]" allUniqueName="[Products].[Size].[All]" dimensionUniqueName="[Products]" displayFolder="" count="0" memberValueDatatype="130" unbalanced="0"/>
    <cacheHierarchy uniqueName="[Products].[Min batch time]" caption="Min batch time" attribute="1" defaultMemberUniqueName="[Products].[Min batch time].[All]" allUniqueName="[Products].[Min batch time].[All]" dimensionUniqueName="[Products]" displayFolder="" count="0" memberValueDatatype="20" unbalanced="0"/>
    <cacheHierarchy uniqueName="[Line_productivity].[Date (Month Index)]" caption="Date (Month Index)" attribute="1" defaultMemberUniqueName="[Line_productivity].[Date (Month Index)].[All]" allUniqueName="[Line_productivity].[Date (Month Index)].[All]" dimensionUniqueName="[Line_productivity]" displayFolder="" count="0" memberValueDatatype="20" unbalanced="0" hidden="1"/>
    <cacheHierarchy uniqueName="[Measures].[__XL_Count Products]" caption="__XL_Count Products" measure="1" displayFolder="" measureGroup="Products" count="0" hidden="1"/>
    <cacheHierarchy uniqueName="[Measures].[__XL_Count Line_productivity]" caption="__XL_Count Line_productivity" measure="1" displayFolder="" measureGroup="Line_productivity" count="0" hidden="1"/>
    <cacheHierarchy uniqueName="[Measures].[__XL_Count Line_downtime]" caption="__XL_Count Line_downtime" measure="1" displayFolder="" measureGroup="Line_downtime" count="0" hidden="1"/>
    <cacheHierarchy uniqueName="[Measures].[__XL_Count Downtime_factors]" caption="__XL_Count Downtime_factors" measure="1" displayFolder="" measureGroup="Downtime_factors" count="0" hidden="1"/>
    <cacheHierarchy uniqueName="[Measures].[__No measures defined]" caption="__No measures defined" measure="1" displayFolder="" count="0" hidden="1"/>
    <cacheHierarchy uniqueName="[Measures].[Count of Operator]" caption="Count of Operator" measure="1" displayFolder="" measureGroup="Line_productivity" count="0" hidden="1">
      <extLst>
        <ext xmlns:x15="http://schemas.microsoft.com/office/spreadsheetml/2010/11/main" uri="{B97F6D7D-B522-45F9-BDA1-12C45D357490}">
          <x15:cacheHierarchy aggregatedColumn="9"/>
        </ext>
      </extLst>
    </cacheHierarchy>
    <cacheHierarchy uniqueName="[Measures].[Distinct Count of Operator]" caption="Distinct Count of Operator" measure="1" displayFolder="" measureGroup="Line_productivity" count="0" hidden="1">
      <extLst>
        <ext xmlns:x15="http://schemas.microsoft.com/office/spreadsheetml/2010/11/main" uri="{B97F6D7D-B522-45F9-BDA1-12C45D357490}">
          <x15:cacheHierarchy aggregatedColumn="9"/>
        </ext>
      </extLst>
    </cacheHierarchy>
    <cacheHierarchy uniqueName="[Measures].[Sum of Batch]" caption="Sum of Batch" measure="1" displayFolder="" measureGroup="Line_productivity" count="0" hidden="1">
      <extLst>
        <ext xmlns:x15="http://schemas.microsoft.com/office/spreadsheetml/2010/11/main" uri="{B97F6D7D-B522-45F9-BDA1-12C45D357490}">
          <x15:cacheHierarchy aggregatedColumn="8"/>
        </ext>
      </extLst>
    </cacheHierarchy>
    <cacheHierarchy uniqueName="[Measures].[Distinct Count of Batch]" caption="Distinct Count of Batch" measure="1" displayFolder="" measureGroup="Line_productivity" count="0" hidden="1">
      <extLst>
        <ext xmlns:x15="http://schemas.microsoft.com/office/spreadsheetml/2010/11/main" uri="{B97F6D7D-B522-45F9-BDA1-12C45D357490}">
          <x15:cacheHierarchy aggregatedColumn="8"/>
        </ext>
      </extLst>
    </cacheHierarchy>
    <cacheHierarchy uniqueName="[Measures].[Sum of Value (In mins)]" caption="Sum of Value (In mins)" measure="1" displayFolder="" measureGroup="Line_downtime" count="0" oneField="1" hidden="1">
      <fieldsUsage count="1">
        <fieldUsage x="1"/>
      </fieldsUsage>
      <extLst>
        <ext xmlns:x15="http://schemas.microsoft.com/office/spreadsheetml/2010/11/main" uri="{B97F6D7D-B522-45F9-BDA1-12C45D357490}">
          <x15:cacheHierarchy aggregatedColumn="5"/>
        </ext>
      </extLst>
    </cacheHierarchy>
    <cacheHierarchy uniqueName="[Measures].[Average of Value (In mins)]" caption="Average of Value (In mins)" measure="1" displayFolder="" measureGroup="Line_downtime" count="0" hidden="1">
      <extLst>
        <ext xmlns:x15="http://schemas.microsoft.com/office/spreadsheetml/2010/11/main" uri="{B97F6D7D-B522-45F9-BDA1-12C45D357490}">
          <x15:cacheHierarchy aggregatedColumn="5"/>
        </ext>
      </extLst>
    </cacheHierarchy>
    <cacheHierarchy uniqueName="[Measures].[Count of Factor]" caption="Count of Factor" measure="1" displayFolder="" measureGroup="Line_downtime" count="0" hidden="1">
      <extLst>
        <ext xmlns:x15="http://schemas.microsoft.com/office/spreadsheetml/2010/11/main" uri="{B97F6D7D-B522-45F9-BDA1-12C45D357490}">
          <x15:cacheHierarchy aggregatedColumn="4"/>
        </ext>
      </extLst>
    </cacheHierarchy>
  </cacheHierarchies>
  <kpis count="0"/>
  <dimensions count="5">
    <dimension name="Downtime_factors" uniqueName="[Downtime_factors]" caption="Downtime_factors"/>
    <dimension name="Line_downtime" uniqueName="[Line_downtime]" caption="Line_downtime"/>
    <dimension name="Line_productivity" uniqueName="[Line_productivity]" caption="Line_productivity"/>
    <dimension measure="1" name="Measures" uniqueName="[Measures]" caption="Measures"/>
    <dimension name="Products" uniqueName="[Products]" caption="Products"/>
  </dimensions>
  <measureGroups count="4">
    <measureGroup name="Downtime_factors" caption="Downtime_factors"/>
    <measureGroup name="Line_downtime" caption="Line_downtime"/>
    <measureGroup name="Line_productivity" caption="Line_productivity"/>
    <measureGroup name="Products" caption="Products"/>
  </measureGroups>
  <maps count="8">
    <map measureGroup="0" dimension="0"/>
    <map measureGroup="1" dimension="0"/>
    <map measureGroup="1" dimension="1"/>
    <map measureGroup="1" dimension="2"/>
    <map measureGroup="1" dimension="4"/>
    <map measureGroup="2" dimension="2"/>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kshi" refreshedDate="46308.424788194447" backgroundQuery="1" createdVersion="3" refreshedVersion="8" minRefreshableVersion="3" recordCount="0" supportSubquery="1" supportAdvancedDrill="1" xr:uid="{42C95874-2E31-450F-AF79-968B7C389C5B}">
  <cacheSource type="external" connectionId="5">
    <extLst>
      <ext xmlns:x14="http://schemas.microsoft.com/office/spreadsheetml/2009/9/main" uri="{F057638F-6D5F-4e77-A914-E7F072B9BCA8}">
        <x14:sourceConnection name="ThisWorkbookDataModel"/>
      </ext>
    </extLst>
  </cacheSource>
  <cacheFields count="0"/>
  <cacheHierarchies count="30">
    <cacheHierarchy uniqueName="[Downtime_factors].[Factor]" caption="Factor" attribute="1" defaultMemberUniqueName="[Downtime_factors].[Factor].[All]" allUniqueName="[Downtime_factors].[Factor].[All]" dimensionUniqueName="[Downtime_factors]" displayFolder="" count="0" memberValueDatatype="20" unbalanced="0"/>
    <cacheHierarchy uniqueName="[Downtime_factors].[Description]" caption="Description" attribute="1" defaultMemberUniqueName="[Downtime_factors].[Description].[All]" allUniqueName="[Downtime_factors].[Description].[All]" dimensionUniqueName="[Downtime_factors]" displayFolder="" count="2" memberValueDatatype="130" unbalanced="0"/>
    <cacheHierarchy uniqueName="[Downtime_factors].[Operator Error]" caption="Operator Error" attribute="1" defaultMemberUniqueName="[Downtime_factors].[Operator Error].[All]" allUniqueName="[Downtime_factors].[Operator Error].[All]" dimensionUniqueName="[Downtime_factors]" displayFolder="" count="0" memberValueDatatype="130" unbalanced="0"/>
    <cacheHierarchy uniqueName="[Line_downtime].[Batch]" caption="Batch" attribute="1" defaultMemberUniqueName="[Line_downtime].[Batch].[All]" allUniqueName="[Line_downtime].[Batch].[All]" dimensionUniqueName="[Line_downtime]" displayFolder="" count="0" memberValueDatatype="20" unbalanced="0"/>
    <cacheHierarchy uniqueName="[Line_downtime].[Factor]" caption="Factor" attribute="1" defaultMemberUniqueName="[Line_downtime].[Factor].[All]" allUniqueName="[Line_downtime].[Factor].[All]" dimensionUniqueName="[Line_downtime]" displayFolder="" count="0" memberValueDatatype="130" unbalanced="0"/>
    <cacheHierarchy uniqueName="[Line_downtime].[Value (In mins)]" caption="Value (In mins)" attribute="1" defaultMemberUniqueName="[Line_downtime].[Value (In mins)].[All]" allUniqueName="[Line_downtime].[Value (In mins)].[All]" dimensionUniqueName="[Line_downtime]" displayFolder="" count="0" memberValueDatatype="20" unbalanced="0"/>
    <cacheHierarchy uniqueName="[Line_productivity].[Date]" caption="Date" attribute="1" time="1" defaultMemberUniqueName="[Line_productivity].[Date].[All]" allUniqueName="[Line_productivity].[Date].[All]" dimensionUniqueName="[Line_productivity]" displayFolder="" count="0" memberValueDatatype="7" unbalanced="0"/>
    <cacheHierarchy uniqueName="[Line_productivity].[Product]" caption="Product" attribute="1" defaultMemberUniqueName="[Line_productivity].[Product].[All]" allUniqueName="[Line_productivity].[Product].[All]" dimensionUniqueName="[Line_productivity]" displayFolder="" count="0" memberValueDatatype="130" unbalanced="0"/>
    <cacheHierarchy uniqueName="[Line_productivity].[Batch]" caption="Batch" attribute="1" defaultMemberUniqueName="[Line_productivity].[Batch].[All]" allUniqueName="[Line_productivity].[Batch].[All]" dimensionUniqueName="[Line_productivity]" displayFolder="" count="0" memberValueDatatype="20" unbalanced="0"/>
    <cacheHierarchy uniqueName="[Line_productivity].[Operator]" caption="Operator" attribute="1" defaultMemberUniqueName="[Line_productivity].[Operator].[All]" allUniqueName="[Line_productivity].[Operator].[All]" dimensionUniqueName="[Line_productivity]" displayFolder="" count="2" memberValueDatatype="130" unbalanced="0"/>
    <cacheHierarchy uniqueName="[Line_productivity].[Start Time]" caption="Start Time" attribute="1" time="1" defaultMemberUniqueName="[Line_productivity].[Start Time].[All]" allUniqueName="[Line_productivity].[Start Time].[All]" dimensionUniqueName="[Line_productivity]" displayFolder="" count="0" memberValueDatatype="7" unbalanced="0"/>
    <cacheHierarchy uniqueName="[Line_productivity].[End Time]" caption="End Time" attribute="1" time="1" defaultMemberUniqueName="[Line_productivity].[End Time].[All]" allUniqueName="[Line_productivity].[End Time].[All]" dimensionUniqueName="[Line_productivity]" displayFolder="" count="0" memberValueDatatype="7" unbalanced="0"/>
    <cacheHierarchy uniqueName="[Line_productivity].[Date (Month)]" caption="Date (Month)" attribute="1" defaultMemberUniqueName="[Line_productivity].[Date (Month)].[All]" allUniqueName="[Line_productivity].[Date (Month)].[All]" dimensionUniqueName="[Line_productivity]" displayFolder="" count="0" memberValueDatatype="130" unbalanced="0"/>
    <cacheHierarchy uniqueName="[Products].[Product]" caption="Product" attribute="1" defaultMemberUniqueName="[Products].[Product].[All]" allUniqueName="[Products].[Product].[All]" dimensionUniqueName="[Products]" displayFolder="" count="0" memberValueDatatype="130" unbalanced="0"/>
    <cacheHierarchy uniqueName="[Products].[Flavor]" caption="Flavor" attribute="1" defaultMemberUniqueName="[Products].[Flavor].[All]" allUniqueName="[Products].[Flavor].[All]" dimensionUniqueName="[Products]" displayFolder="" count="0" memberValueDatatype="130" unbalanced="0"/>
    <cacheHierarchy uniqueName="[Products].[Size]" caption="Size" attribute="1" defaultMemberUniqueName="[Products].[Size].[All]" allUniqueName="[Products].[Size].[All]" dimensionUniqueName="[Products]" displayFolder="" count="0" memberValueDatatype="130" unbalanced="0"/>
    <cacheHierarchy uniqueName="[Products].[Min batch time]" caption="Min batch time" attribute="1" defaultMemberUniqueName="[Products].[Min batch time].[All]" allUniqueName="[Products].[Min batch time].[All]" dimensionUniqueName="[Products]" displayFolder="" count="0" memberValueDatatype="20" unbalanced="0"/>
    <cacheHierarchy uniqueName="[Line_productivity].[Date (Month Index)]" caption="Date (Month Index)" attribute="1" defaultMemberUniqueName="[Line_productivity].[Date (Month Index)].[All]" allUniqueName="[Line_productivity].[Date (Month Index)].[All]" dimensionUniqueName="[Line_productivity]" displayFolder="" count="0" memberValueDatatype="20" unbalanced="0" hidden="1"/>
    <cacheHierarchy uniqueName="[Measures].[__XL_Count Products]" caption="__XL_Count Products" measure="1" displayFolder="" measureGroup="Products" count="0" hidden="1"/>
    <cacheHierarchy uniqueName="[Measures].[__XL_Count Line_productivity]" caption="__XL_Count Line_productivity" measure="1" displayFolder="" measureGroup="Line_productivity" count="0" hidden="1"/>
    <cacheHierarchy uniqueName="[Measures].[__XL_Count Line_downtime]" caption="__XL_Count Line_downtime" measure="1" displayFolder="" measureGroup="Line_downtime" count="0" hidden="1"/>
    <cacheHierarchy uniqueName="[Measures].[__XL_Count Downtime_factors]" caption="__XL_Count Downtime_factors" measure="1" displayFolder="" measureGroup="Downtime_factors" count="0" hidden="1"/>
    <cacheHierarchy uniqueName="[Measures].[__No measures defined]" caption="__No measures defined" measure="1" displayFolder="" count="0" hidden="1"/>
    <cacheHierarchy uniqueName="[Measures].[Count of Operator]" caption="Count of Operator" measure="1" displayFolder="" measureGroup="Line_productivity" count="0" hidden="1">
      <extLst>
        <ext xmlns:x15="http://schemas.microsoft.com/office/spreadsheetml/2010/11/main" uri="{B97F6D7D-B522-45F9-BDA1-12C45D357490}">
          <x15:cacheHierarchy aggregatedColumn="9"/>
        </ext>
      </extLst>
    </cacheHierarchy>
    <cacheHierarchy uniqueName="[Measures].[Distinct Count of Operator]" caption="Distinct Count of Operator" measure="1" displayFolder="" measureGroup="Line_productivity" count="0" hidden="1">
      <extLst>
        <ext xmlns:x15="http://schemas.microsoft.com/office/spreadsheetml/2010/11/main" uri="{B97F6D7D-B522-45F9-BDA1-12C45D357490}">
          <x15:cacheHierarchy aggregatedColumn="9"/>
        </ext>
      </extLst>
    </cacheHierarchy>
    <cacheHierarchy uniqueName="[Measures].[Sum of Batch]" caption="Sum of Batch" measure="1" displayFolder="" measureGroup="Line_productivity" count="0" hidden="1">
      <extLst>
        <ext xmlns:x15="http://schemas.microsoft.com/office/spreadsheetml/2010/11/main" uri="{B97F6D7D-B522-45F9-BDA1-12C45D357490}">
          <x15:cacheHierarchy aggregatedColumn="8"/>
        </ext>
      </extLst>
    </cacheHierarchy>
    <cacheHierarchy uniqueName="[Measures].[Distinct Count of Batch]" caption="Distinct Count of Batch" measure="1" displayFolder="" measureGroup="Line_productivity" count="0" hidden="1">
      <extLst>
        <ext xmlns:x15="http://schemas.microsoft.com/office/spreadsheetml/2010/11/main" uri="{B97F6D7D-B522-45F9-BDA1-12C45D357490}">
          <x15:cacheHierarchy aggregatedColumn="8"/>
        </ext>
      </extLst>
    </cacheHierarchy>
    <cacheHierarchy uniqueName="[Measures].[Sum of Value (In mins)]" caption="Sum of Value (In mins)" measure="1" displayFolder="" measureGroup="Line_downtime" count="0" hidden="1">
      <extLst>
        <ext xmlns:x15="http://schemas.microsoft.com/office/spreadsheetml/2010/11/main" uri="{B97F6D7D-B522-45F9-BDA1-12C45D357490}">
          <x15:cacheHierarchy aggregatedColumn="5"/>
        </ext>
      </extLst>
    </cacheHierarchy>
    <cacheHierarchy uniqueName="[Measures].[Average of Value (In mins)]" caption="Average of Value (In mins)" measure="1" displayFolder="" measureGroup="Line_downtime" count="0" hidden="1">
      <extLst>
        <ext xmlns:x15="http://schemas.microsoft.com/office/spreadsheetml/2010/11/main" uri="{B97F6D7D-B522-45F9-BDA1-12C45D357490}">
          <x15:cacheHierarchy aggregatedColumn="5"/>
        </ext>
      </extLst>
    </cacheHierarchy>
    <cacheHierarchy uniqueName="[Measures].[Count of Factor]" caption="Count of Factor" measure="1" displayFolder="" measureGroup="Line_downtime" count="0" hidden="1">
      <extLst>
        <ext xmlns:x15="http://schemas.microsoft.com/office/spreadsheetml/2010/11/main" uri="{B97F6D7D-B522-45F9-BDA1-12C45D357490}">
          <x15:cacheHierarchy aggregatedColumn="4"/>
        </ext>
      </extLst>
    </cacheHierarchy>
  </cacheHierarchies>
  <kpis count="0"/>
  <extLst>
    <ext xmlns:x14="http://schemas.microsoft.com/office/spreadsheetml/2009/9/main" uri="{725AE2AE-9491-48be-B2B4-4EB974FC3084}">
      <x14:pivotCacheDefinition slicerData="1" pivotCacheId="1942423980"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kshi" refreshedDate="46308.424786805554" backgroundQuery="1" createdVersion="3" refreshedVersion="8" minRefreshableVersion="3" recordCount="0" supportSubquery="1" supportAdvancedDrill="1" xr:uid="{F82AAC3B-41C6-4001-9F4B-07FAC6C8768F}">
  <cacheSource type="external" connectionId="5">
    <extLst>
      <ext xmlns:x14="http://schemas.microsoft.com/office/spreadsheetml/2009/9/main" uri="{F057638F-6D5F-4e77-A914-E7F072B9BCA8}">
        <x14:sourceConnection name="ThisWorkbookDataModel"/>
      </ext>
    </extLst>
  </cacheSource>
  <cacheFields count="0"/>
  <cacheHierarchies count="30">
    <cacheHierarchy uniqueName="[Downtime_factors].[Factor]" caption="Factor" attribute="1" defaultMemberUniqueName="[Downtime_factors].[Factor].[All]" allUniqueName="[Downtime_factors].[Factor].[All]" dimensionUniqueName="[Downtime_factors]" displayFolder="" count="0" memberValueDatatype="20" unbalanced="0"/>
    <cacheHierarchy uniqueName="[Downtime_factors].[Description]" caption="Description" attribute="1" defaultMemberUniqueName="[Downtime_factors].[Description].[All]" allUniqueName="[Downtime_factors].[Description].[All]" dimensionUniqueName="[Downtime_factors]" displayFolder="" count="0" memberValueDatatype="130" unbalanced="0"/>
    <cacheHierarchy uniqueName="[Downtime_factors].[Operator Error]" caption="Operator Error" attribute="1" defaultMemberUniqueName="[Downtime_factors].[Operator Error].[All]" allUniqueName="[Downtime_factors].[Operator Error].[All]" dimensionUniqueName="[Downtime_factors]" displayFolder="" count="0" memberValueDatatype="130" unbalanced="0"/>
    <cacheHierarchy uniqueName="[Line_downtime].[Batch]" caption="Batch" attribute="1" defaultMemberUniqueName="[Line_downtime].[Batch].[All]" allUniqueName="[Line_downtime].[Batch].[All]" dimensionUniqueName="[Line_downtime]" displayFolder="" count="0" memberValueDatatype="20" unbalanced="0"/>
    <cacheHierarchy uniqueName="[Line_downtime].[Factor]" caption="Factor" attribute="1" defaultMemberUniqueName="[Line_downtime].[Factor].[All]" allUniqueName="[Line_downtime].[Factor].[All]" dimensionUniqueName="[Line_downtime]" displayFolder="" count="0" memberValueDatatype="130" unbalanced="0"/>
    <cacheHierarchy uniqueName="[Line_downtime].[Value (In mins)]" caption="Value (In mins)" attribute="1" defaultMemberUniqueName="[Line_downtime].[Value (In mins)].[All]" allUniqueName="[Line_downtime].[Value (In mins)].[All]" dimensionUniqueName="[Line_downtime]" displayFolder="" count="0" memberValueDatatype="20" unbalanced="0"/>
    <cacheHierarchy uniqueName="[Line_productivity].[Date]" caption="Date" attribute="1" time="1" defaultMemberUniqueName="[Line_productivity].[Date].[All]" allUniqueName="[Line_productivity].[Date].[All]" dimensionUniqueName="[Line_productivity]" displayFolder="" count="2" memberValueDatatype="7" unbalanced="0"/>
    <cacheHierarchy uniqueName="[Line_productivity].[Product]" caption="Product" attribute="1" defaultMemberUniqueName="[Line_productivity].[Product].[All]" allUniqueName="[Line_productivity].[Product].[All]" dimensionUniqueName="[Line_productivity]" displayFolder="" count="0" memberValueDatatype="130" unbalanced="0"/>
    <cacheHierarchy uniqueName="[Line_productivity].[Batch]" caption="Batch" attribute="1" defaultMemberUniqueName="[Line_productivity].[Batch].[All]" allUniqueName="[Line_productivity].[Batch].[All]" dimensionUniqueName="[Line_productivity]" displayFolder="" count="0" memberValueDatatype="20" unbalanced="0"/>
    <cacheHierarchy uniqueName="[Line_productivity].[Operator]" caption="Operator" attribute="1" defaultMemberUniqueName="[Line_productivity].[Operator].[All]" allUniqueName="[Line_productivity].[Operator].[All]" dimensionUniqueName="[Line_productivity]" displayFolder="" count="0" memberValueDatatype="130" unbalanced="0"/>
    <cacheHierarchy uniqueName="[Line_productivity].[Start Time]" caption="Start Time" attribute="1" time="1" defaultMemberUniqueName="[Line_productivity].[Start Time].[All]" allUniqueName="[Line_productivity].[Start Time].[All]" dimensionUniqueName="[Line_productivity]" displayFolder="" count="0" memberValueDatatype="7" unbalanced="0"/>
    <cacheHierarchy uniqueName="[Line_productivity].[End Time]" caption="End Time" attribute="1" time="1" defaultMemberUniqueName="[Line_productivity].[End Time].[All]" allUniqueName="[Line_productivity].[End Time].[All]" dimensionUniqueName="[Line_productivity]" displayFolder="" count="0" memberValueDatatype="7" unbalanced="0"/>
    <cacheHierarchy uniqueName="[Line_productivity].[Date (Month)]" caption="Date (Month)" attribute="1" defaultMemberUniqueName="[Line_productivity].[Date (Month)].[All]" allUniqueName="[Line_productivity].[Date (Month)].[All]" dimensionUniqueName="[Line_productivity]" displayFolder="" count="0" memberValueDatatype="130" unbalanced="0"/>
    <cacheHierarchy uniqueName="[Products].[Product]" caption="Product" attribute="1" defaultMemberUniqueName="[Products].[Product].[All]" allUniqueName="[Products].[Product].[All]" dimensionUniqueName="[Products]" displayFolder="" count="0" memberValueDatatype="130" unbalanced="0"/>
    <cacheHierarchy uniqueName="[Products].[Flavor]" caption="Flavor" attribute="1" defaultMemberUniqueName="[Products].[Flavor].[All]" allUniqueName="[Products].[Flavor].[All]" dimensionUniqueName="[Products]" displayFolder="" count="0" memberValueDatatype="130" unbalanced="0"/>
    <cacheHierarchy uniqueName="[Products].[Size]" caption="Size" attribute="1" defaultMemberUniqueName="[Products].[Size].[All]" allUniqueName="[Products].[Size].[All]" dimensionUniqueName="[Products]" displayFolder="" count="0" memberValueDatatype="130" unbalanced="0"/>
    <cacheHierarchy uniqueName="[Products].[Min batch time]" caption="Min batch time" attribute="1" defaultMemberUniqueName="[Products].[Min batch time].[All]" allUniqueName="[Products].[Min batch time].[All]" dimensionUniqueName="[Products]" displayFolder="" count="0" memberValueDatatype="20" unbalanced="0"/>
    <cacheHierarchy uniqueName="[Line_productivity].[Date (Month Index)]" caption="Date (Month Index)" attribute="1" defaultMemberUniqueName="[Line_productivity].[Date (Month Index)].[All]" allUniqueName="[Line_productivity].[Date (Month Index)].[All]" dimensionUniqueName="[Line_productivity]" displayFolder="" count="0" memberValueDatatype="20" unbalanced="0" hidden="1"/>
    <cacheHierarchy uniqueName="[Measures].[__XL_Count Products]" caption="__XL_Count Products" measure="1" displayFolder="" measureGroup="Products" count="0" hidden="1"/>
    <cacheHierarchy uniqueName="[Measures].[__XL_Count Line_productivity]" caption="__XL_Count Line_productivity" measure="1" displayFolder="" measureGroup="Line_productivity" count="0" hidden="1"/>
    <cacheHierarchy uniqueName="[Measures].[__XL_Count Line_downtime]" caption="__XL_Count Line_downtime" measure="1" displayFolder="" measureGroup="Line_downtime" count="0" hidden="1"/>
    <cacheHierarchy uniqueName="[Measures].[__XL_Count Downtime_factors]" caption="__XL_Count Downtime_factors" measure="1" displayFolder="" measureGroup="Downtime_factors" count="0" hidden="1"/>
    <cacheHierarchy uniqueName="[Measures].[__No measures defined]" caption="__No measures defined" measure="1" displayFolder="" count="0" hidden="1"/>
    <cacheHierarchy uniqueName="[Measures].[Count of Operator]" caption="Count of Operator" measure="1" displayFolder="" measureGroup="Line_productivity" count="0" hidden="1">
      <extLst>
        <ext xmlns:x15="http://schemas.microsoft.com/office/spreadsheetml/2010/11/main" uri="{B97F6D7D-B522-45F9-BDA1-12C45D357490}">
          <x15:cacheHierarchy aggregatedColumn="9"/>
        </ext>
      </extLst>
    </cacheHierarchy>
    <cacheHierarchy uniqueName="[Measures].[Distinct Count of Operator]" caption="Distinct Count of Operator" measure="1" displayFolder="" measureGroup="Line_productivity" count="0" hidden="1">
      <extLst>
        <ext xmlns:x15="http://schemas.microsoft.com/office/spreadsheetml/2010/11/main" uri="{B97F6D7D-B522-45F9-BDA1-12C45D357490}">
          <x15:cacheHierarchy aggregatedColumn="9"/>
        </ext>
      </extLst>
    </cacheHierarchy>
    <cacheHierarchy uniqueName="[Measures].[Sum of Batch]" caption="Sum of Batch" measure="1" displayFolder="" measureGroup="Line_productivity" count="0" hidden="1">
      <extLst>
        <ext xmlns:x15="http://schemas.microsoft.com/office/spreadsheetml/2010/11/main" uri="{B97F6D7D-B522-45F9-BDA1-12C45D357490}">
          <x15:cacheHierarchy aggregatedColumn="8"/>
        </ext>
      </extLst>
    </cacheHierarchy>
    <cacheHierarchy uniqueName="[Measures].[Distinct Count of Batch]" caption="Distinct Count of Batch" measure="1" displayFolder="" measureGroup="Line_productivity" count="0" hidden="1">
      <extLst>
        <ext xmlns:x15="http://schemas.microsoft.com/office/spreadsheetml/2010/11/main" uri="{B97F6D7D-B522-45F9-BDA1-12C45D357490}">
          <x15:cacheHierarchy aggregatedColumn="8"/>
        </ext>
      </extLst>
    </cacheHierarchy>
    <cacheHierarchy uniqueName="[Measures].[Sum of Value (In mins)]" caption="Sum of Value (In mins)" measure="1" displayFolder="" measureGroup="Line_downtime" count="0" hidden="1">
      <extLst>
        <ext xmlns:x15="http://schemas.microsoft.com/office/spreadsheetml/2010/11/main" uri="{B97F6D7D-B522-45F9-BDA1-12C45D357490}">
          <x15:cacheHierarchy aggregatedColumn="5"/>
        </ext>
      </extLst>
    </cacheHierarchy>
    <cacheHierarchy uniqueName="[Measures].[Average of Value (In mins)]" caption="Average of Value (In mins)" measure="1" displayFolder="" measureGroup="Line_downtime" count="0" hidden="1">
      <extLst>
        <ext xmlns:x15="http://schemas.microsoft.com/office/spreadsheetml/2010/11/main" uri="{B97F6D7D-B522-45F9-BDA1-12C45D357490}">
          <x15:cacheHierarchy aggregatedColumn="5"/>
        </ext>
      </extLst>
    </cacheHierarchy>
    <cacheHierarchy uniqueName="[Measures].[Count of Factor]" caption="Count of Factor" measure="1" displayFolder="" measureGroup="Line_downtime" count="0" hidden="1">
      <extLst>
        <ext xmlns:x15="http://schemas.microsoft.com/office/spreadsheetml/2010/11/main" uri="{B97F6D7D-B522-45F9-BDA1-12C45D357490}">
          <x15:cacheHierarchy aggregatedColumn="4"/>
        </ext>
      </extLst>
    </cacheHierarchy>
  </cacheHierarchies>
  <kpis count="0"/>
  <extLst>
    <ext xmlns:x14="http://schemas.microsoft.com/office/spreadsheetml/2009/9/main" uri="{725AE2AE-9491-48be-B2B4-4EB974FC3084}">
      <x14:pivotCacheDefinition pivotCacheId="1630476193" supportSubqueryNonVisual="1" supportSubqueryCalcMem="1" supportAddCalcMems="1"/>
    </ext>
    <ext xmlns:x15="http://schemas.microsoft.com/office/spreadsheetml/2010/11/main" uri="{ABF5C744-AB39-4b91-8756-CFA1BBC848D5}">
      <x15:pivotCacheIdVersion cacheIdSupportedVersion="6" cacheIdCreatedVersion="7"/>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1F23C606-4991-484D-85D3-0949D5453F9A}" name="PivotTable8" cacheId="967"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19">
  <location ref="A48:D54" firstHeaderRow="1" firstDataRow="2" firstDataCol="1"/>
  <pivotFields count="3">
    <pivotField axis="axisRow" allDrilled="1" subtotalTop="0" showAll="0" dataSourceSort="1" defaultSubtotal="0" defaultAttributeDrillState="1">
      <items count="4">
        <item x="0"/>
        <item x="1"/>
        <item x="2"/>
        <item x="3"/>
      </items>
    </pivotField>
    <pivotField dataField="1" subtotalTop="0" showAll="0" defaultSubtotal="0"/>
    <pivotField axis="axisCol" allDrilled="1" subtotalTop="0" showAll="0" dataSourceSort="1" defaultSubtotal="0" defaultAttributeDrillState="1">
      <items count="2">
        <item x="0"/>
        <item x="1"/>
      </items>
    </pivotField>
  </pivotFields>
  <rowFields count="1">
    <field x="0"/>
  </rowFields>
  <rowItems count="5">
    <i>
      <x/>
    </i>
    <i>
      <x v="1"/>
    </i>
    <i>
      <x v="2"/>
    </i>
    <i>
      <x v="3"/>
    </i>
    <i t="grand">
      <x/>
    </i>
  </rowItems>
  <colFields count="1">
    <field x="2"/>
  </colFields>
  <colItems count="3">
    <i>
      <x/>
    </i>
    <i>
      <x v="1"/>
    </i>
    <i t="grand">
      <x/>
    </i>
  </colItems>
  <dataFields count="1">
    <dataField name="Sum of Value (In mins)" fld="1" baseField="0" baseItem="0"/>
  </dataFields>
  <chartFormats count="8">
    <chartFormat chart="7" format="0" series="1">
      <pivotArea type="data" outline="0" fieldPosition="0">
        <references count="2">
          <reference field="4294967294" count="1" selected="0">
            <x v="0"/>
          </reference>
          <reference field="2" count="1" selected="0">
            <x v="0"/>
          </reference>
        </references>
      </pivotArea>
    </chartFormat>
    <chartFormat chart="7" format="1" series="1">
      <pivotArea type="data" outline="0" fieldPosition="0">
        <references count="2">
          <reference field="4294967294" count="1" selected="0">
            <x v="0"/>
          </reference>
          <reference field="2" count="1" selected="0">
            <x v="1"/>
          </reference>
        </references>
      </pivotArea>
    </chartFormat>
    <chartFormat chart="13" format="2" series="1">
      <pivotArea type="data" outline="0" fieldPosition="0">
        <references count="2">
          <reference field="4294967294" count="1" selected="0">
            <x v="0"/>
          </reference>
          <reference field="2" count="1" selected="0">
            <x v="0"/>
          </reference>
        </references>
      </pivotArea>
    </chartFormat>
    <chartFormat chart="13" format="3" series="1">
      <pivotArea type="data" outline="0" fieldPosition="0">
        <references count="2">
          <reference field="4294967294" count="1" selected="0">
            <x v="0"/>
          </reference>
          <reference field="2" count="1" selected="0">
            <x v="1"/>
          </reference>
        </references>
      </pivotArea>
    </chartFormat>
    <chartFormat chart="14" format="4" series="1">
      <pivotArea type="data" outline="0" fieldPosition="0">
        <references count="2">
          <reference field="4294967294" count="1" selected="0">
            <x v="0"/>
          </reference>
          <reference field="2" count="1" selected="0">
            <x v="0"/>
          </reference>
        </references>
      </pivotArea>
    </chartFormat>
    <chartFormat chart="14" format="5" series="1">
      <pivotArea type="data" outline="0" fieldPosition="0">
        <references count="2">
          <reference field="4294967294" count="1" selected="0">
            <x v="0"/>
          </reference>
          <reference field="2" count="1" selected="0">
            <x v="1"/>
          </reference>
        </references>
      </pivotArea>
    </chartFormat>
    <chartFormat chart="15" format="4" series="1">
      <pivotArea type="data" outline="0" fieldPosition="0">
        <references count="2">
          <reference field="4294967294" count="1" selected="0">
            <x v="0"/>
          </reference>
          <reference field="2" count="1" selected="0">
            <x v="0"/>
          </reference>
        </references>
      </pivotArea>
    </chartFormat>
    <chartFormat chart="15" format="5" series="1">
      <pivotArea type="data" outline="0" fieldPosition="0">
        <references count="2">
          <reference field="4294967294" count="1" selected="0">
            <x v="0"/>
          </reference>
          <reference field="2" count="1" selected="0">
            <x v="1"/>
          </reference>
        </references>
      </pivotArea>
    </chartFormat>
  </chartFormats>
  <pivotHierarchies count="30">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9"/>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Line_productivity]"/>
        <x15:activeTabTopLevelEntity name="[Line_downtime]"/>
        <x15:activeTabTopLevelEntity name="[Downtime_facto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82D7E2B-880C-475D-9D21-E349E422063E}" name="PivotTable3" cacheId="952" applyNumberFormats="0" applyBorderFormats="0" applyFontFormats="0" applyPatternFormats="0" applyAlignmentFormats="0" applyWidthHeightFormats="1" dataCaption="Values" tag="20bb0243-56e0-4d29-b662-aecd9fed6036" updatedVersion="8" minRefreshableVersion="5" itemPrintTitles="1" createdVersion="8" indent="0" outline="1" outlineData="1" multipleFieldFilters="0">
  <location ref="A7:A8"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Total Downtime " fld="0" baseField="0" baseItem="0"/>
  </dataFields>
  <pivotHierarchies count="30">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caption="Total Operators"/>
    <pivotHierarchy dragToData="1"/>
    <pivotHierarchy dragToData="1" caption="Total Batches"/>
    <pivotHierarchy dragToData="1" caption="Total Downtime "/>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Line_productivity]"/>
        <x15:activeTabTopLevelEntity name="[Line_downtim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AE7D4205-6E78-4C64-BF10-9732DE1D3604}" name="PivotTable2" cacheId="949" applyNumberFormats="0" applyBorderFormats="0" applyFontFormats="0" applyPatternFormats="0" applyAlignmentFormats="0" applyWidthHeightFormats="1" dataCaption="Values" tag="d1ff1dfb-92aa-4282-a4a1-9a3eea172467" updatedVersion="8" minRefreshableVersion="5" useAutoFormatting="1" itemPrintTitles="1" createdVersion="8" indent="0" outline="1" outlineData="1" multipleFieldFilters="0">
  <location ref="A4:A5"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Total Batches" fld="0" subtotal="count" baseField="0" baseItem="0">
      <extLst>
        <ext xmlns:x15="http://schemas.microsoft.com/office/spreadsheetml/2010/11/main" uri="{FABC7310-3BB5-11E1-824E-6D434824019B}">
          <x15:dataField isCountDistinct="1"/>
        </ext>
      </extLst>
    </dataField>
  </dataFields>
  <pivotHierarchies count="30">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caption="Total Operators"/>
    <pivotHierarchy dragToData="1"/>
    <pivotHierarchy dragToData="1" caption="Total Batches"/>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Line_productivity]"/>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23C8710F-623B-4ABB-A7BA-3ED6A1EF357B}" name="PivotTable7" cacheId="964"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10">
  <location ref="A39:B45" firstHeaderRow="1" firstDataRow="1" firstDataCol="1"/>
  <pivotFields count="3">
    <pivotField axis="axisRow" allDrilled="1" subtotalTop="0" showAll="0" measureFilter="1" dataSourceSort="1" defaultSubtotal="0" defaultAttributeDrillState="1">
      <items count="5">
        <item x="0"/>
        <item x="1"/>
        <item x="2"/>
        <item x="3"/>
        <item x="4"/>
      </items>
    </pivotField>
    <pivotField dataField="1" subtotalTop="0" showAll="0" defaultSubtotal="0"/>
    <pivotField allDrilled="1" subtotalTop="0" showAll="0" dataSourceSort="1" defaultSubtotal="0" defaultAttributeDrillState="1"/>
  </pivotFields>
  <rowFields count="1">
    <field x="0"/>
  </rowFields>
  <rowItems count="6">
    <i>
      <x/>
    </i>
    <i>
      <x v="1"/>
    </i>
    <i>
      <x v="2"/>
    </i>
    <i>
      <x v="3"/>
    </i>
    <i>
      <x v="4"/>
    </i>
    <i t="grand">
      <x/>
    </i>
  </rowItems>
  <colItems count="1">
    <i/>
  </colItems>
  <dataFields count="1">
    <dataField name="Sum of Value (In mins)" fld="1" baseField="0" baseItem="0"/>
  </dataFields>
  <chartFormats count="2">
    <chartFormat chart="2" format="0" series="1">
      <pivotArea type="data" outline="0" fieldPosition="0">
        <references count="1">
          <reference field="4294967294" count="1" selected="0">
            <x v="0"/>
          </reference>
        </references>
      </pivotArea>
    </chartFormat>
    <chartFormat chart="9" format="2" series="1">
      <pivotArea type="data" outline="0" fieldPosition="0">
        <references count="1">
          <reference field="4294967294" count="1" selected="0">
            <x v="0"/>
          </reference>
        </references>
      </pivotArea>
    </chartFormat>
  </chartFormats>
  <pivotHierarchies count="30">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0" type="count" id="14" iMeasureHier="27">
      <autoFilter ref="A1">
        <filterColumn colId="0">
          <top10 val="5" filterVal="5"/>
        </filterColumn>
      </autoFilter>
    </filter>
  </filters>
  <rowHierarchiesUsage count="1">
    <rowHierarchyUsage hierarchyUsage="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owntime_factors]"/>
        <x15:activeTabTopLevelEntity name="[Line_downtime]"/>
        <x15:activeTabTopLevelEntity name="[Line_productivity]"/>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6AF32306-5FEB-4289-A0F3-A90B2FB1899E}" name="PivotTable6" cacheId="961"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9">
  <location ref="A30:B36" firstHeaderRow="1" firstDataRow="1" firstDataCol="1"/>
  <pivotFields count="3">
    <pivotField dataField="1" subtotalTop="0" showAll="0" defaultSubtotal="0"/>
    <pivotField axis="axisRow" allDrilled="1" subtotalTop="0" showAll="0" dataSourceSort="1" defaultSubtotal="0" defaultAttributeDrillState="1">
      <items count="5">
        <item x="0"/>
        <item x="1"/>
        <item x="2"/>
        <item x="3"/>
        <item x="4"/>
      </items>
    </pivotField>
    <pivotField allDrilled="1" subtotalTop="0" showAll="0" dataSourceSort="1" defaultSubtotal="0" defaultAttributeDrillState="1"/>
  </pivotFields>
  <rowFields count="1">
    <field x="1"/>
  </rowFields>
  <rowItems count="6">
    <i>
      <x/>
    </i>
    <i>
      <x v="1"/>
    </i>
    <i>
      <x v="2"/>
    </i>
    <i>
      <x v="3"/>
    </i>
    <i>
      <x v="4"/>
    </i>
    <i t="grand">
      <x/>
    </i>
  </rowItems>
  <colItems count="1">
    <i/>
  </colItems>
  <dataFields count="1">
    <dataField name="Sum of Value (In mins)" fld="0" baseField="0" baseItem="0"/>
  </dataFields>
  <chartFormats count="2">
    <chartFormat chart="4" format="0" series="1">
      <pivotArea type="data" outline="0" fieldPosition="0">
        <references count="1">
          <reference field="4294967294" count="1" selected="0">
            <x v="0"/>
          </reference>
        </references>
      </pivotArea>
    </chartFormat>
    <chartFormat chart="8" format="2" series="1">
      <pivotArea type="data" outline="0" fieldPosition="0">
        <references count="1">
          <reference field="4294967294" count="1" selected="0">
            <x v="0"/>
          </reference>
        </references>
      </pivotArea>
    </chartFormat>
  </chartFormats>
  <pivotHierarchies count="30">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Products]"/>
        <x15:activeTabTopLevelEntity name="[Line_downtim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D140588C-3E4D-457D-A35C-0D4D24635947}" name="PivotTable5" cacheId="958" applyNumberFormats="0" applyBorderFormats="0" applyFontFormats="0" applyPatternFormats="0" applyAlignmentFormats="0" applyWidthHeightFormats="1" dataCaption="Values" tag="a0e55e82-2c23-4aee-91dc-e2d3221a03f5" updatedVersion="8" minRefreshableVersion="5" useAutoFormatting="1" itemPrintTitles="1" createdVersion="8" indent="0" outline="1" outlineData="1" multipleFieldFilters="0" chartFormat="32">
  <location ref="A21:B27" firstHeaderRow="1" firstDataRow="1" firstDataCol="1" rowPageCount="1" colPageCount="1"/>
  <pivotFields count="4">
    <pivotField axis="axisRow" allDrilled="1" subtotalTop="0" showAll="0" dataSourceSort="1" defaultSubtotal="0" defaultAttributeDrillState="1">
      <items count="5">
        <item x="0"/>
        <item x="1"/>
        <item x="2"/>
        <item x="3"/>
        <item x="4"/>
      </items>
    </pivotField>
    <pivotField axis="axisPage" allDrilled="1" subtotalTop="0" showAll="0" dataSourceSort="1" defaultSubtotal="0" defaultAttributeDrillState="1"/>
    <pivotField dataField="1" subtotalTop="0" showAll="0" defaultSubtotal="0"/>
    <pivotField allDrilled="1" subtotalTop="0" showAll="0" dataSourceSort="1" defaultSubtotal="0" defaultAttributeDrillState="1"/>
  </pivotFields>
  <rowFields count="1">
    <field x="0"/>
  </rowFields>
  <rowItems count="6">
    <i>
      <x/>
    </i>
    <i>
      <x v="1"/>
    </i>
    <i>
      <x v="2"/>
    </i>
    <i>
      <x v="3"/>
    </i>
    <i>
      <x v="4"/>
    </i>
    <i t="grand">
      <x/>
    </i>
  </rowItems>
  <colItems count="1">
    <i/>
  </colItems>
  <pageFields count="1">
    <pageField fld="1" hier="12" name="[Line_productivity].[Date (Month)].[All]" cap="All"/>
  </pageFields>
  <dataFields count="1">
    <dataField name="Sum of Value (In mins)" fld="2" baseField="0" baseItem="0"/>
  </dataFields>
  <chartFormats count="3">
    <chartFormat chart="3" format="0" series="1">
      <pivotArea type="data" outline="0" fieldPosition="0">
        <references count="1">
          <reference field="4294967294" count="1" selected="0">
            <x v="0"/>
          </reference>
        </references>
      </pivotArea>
    </chartFormat>
    <chartFormat chart="25" format="0" series="1">
      <pivotArea type="data" outline="0" fieldPosition="0">
        <references count="1">
          <reference field="4294967294" count="1" selected="0">
            <x v="0"/>
          </reference>
        </references>
      </pivotArea>
    </chartFormat>
    <chartFormat chart="28" format="2" series="1">
      <pivotArea type="data" outline="0" fieldPosition="0">
        <references count="1">
          <reference field="4294967294" count="1" selected="0">
            <x v="0"/>
          </reference>
        </references>
      </pivotArea>
    </chartFormat>
  </chartFormats>
  <pivotHierarchies count="30">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Line_productivity]"/>
        <x15:activeTabTopLevelEntity name="[Line_downtime]"/>
        <x15:activeTabTopLevelEntity name="[Downtime_facto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ED0ECC44-A87A-487C-AEF4-DD128C2E84D2}" name="PivotTable4" cacheId="955" applyNumberFormats="0" applyBorderFormats="0" applyFontFormats="0" applyPatternFormats="0" applyAlignmentFormats="0" applyWidthHeightFormats="1" dataCaption="Values" tag="bf096952-dcd6-4f4e-978c-72e197a9fe7a" updatedVersion="8" minRefreshableVersion="5" itemPrintTitles="1" createdVersion="8" indent="0" outline="1" outlineData="1" multipleFieldFilters="0">
  <location ref="A13:B18" firstHeaderRow="1" firstDataRow="1" firstDataCol="1" rowPageCount="1" colPageCount="1"/>
  <pivotFields count="3">
    <pivotField axis="axisRow" allDrilled="1" subtotalTop="0" showAll="0" dataSourceSort="1" defaultSubtotal="0" defaultAttributeDrillState="1">
      <items count="4">
        <item x="0"/>
        <item x="1"/>
        <item x="2"/>
        <item x="3"/>
      </items>
    </pivotField>
    <pivotField axis="axisPage" allDrilled="1" subtotalTop="0" showAll="0" dataSourceSort="1" defaultSubtotal="0" defaultAttributeDrillState="1"/>
    <pivotField dataField="1" subtotalTop="0" showAll="0" defaultSubtotal="0"/>
  </pivotFields>
  <rowFields count="1">
    <field x="0"/>
  </rowFields>
  <rowItems count="5">
    <i>
      <x/>
    </i>
    <i>
      <x v="1"/>
    </i>
    <i>
      <x v="2"/>
    </i>
    <i>
      <x v="3"/>
    </i>
    <i t="grand">
      <x/>
    </i>
  </rowItems>
  <colItems count="1">
    <i/>
  </colItems>
  <pageFields count="1">
    <pageField fld="1" hier="2" name="[Downtime_factors].[Operator Error].&amp;[Yes]" cap="Yes"/>
  </pageFields>
  <dataFields count="1">
    <dataField name="Average of Value (In mins)" fld="2" subtotal="average" baseField="0" baseItem="0" numFmtId="2"/>
  </dataFields>
  <pivotHierarchies count="30">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caption="Total Operators"/>
    <pivotHierarchy dragToData="1"/>
    <pivotHierarchy dragToData="1" caption="Total Batches"/>
    <pivotHierarchy dragToData="1"/>
    <pivotHierarchy dragToData="1" caption="Average of Value (In mins)"/>
    <pivotHierarchy dragToData="1"/>
  </pivotHierarchies>
  <pivotTableStyleInfo name="PivotStyleLight16" showRowHeaders="1" showColHeaders="1" showRowStripes="0" showColStripes="0" showLastColumn="1"/>
  <rowHierarchiesUsage count="1">
    <rowHierarchyUsage hierarchyUsage="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Line_productivity]"/>
        <x15:activeTabTopLevelEntity name="[Line_downtime]"/>
        <x15:activeTabTopLevelEntity name="[Downtime_facto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1A24972C-68AE-49BC-86F2-B2367D9D7218}" name="PivotTable1" cacheId="946" applyNumberFormats="0" applyBorderFormats="0" applyFontFormats="0" applyPatternFormats="0" applyAlignmentFormats="0" applyWidthHeightFormats="1" dataCaption="Values" tag="91495dc7-8e58-4d9b-b470-ef6b19f85a93" updatedVersion="8" minRefreshableVersion="5" useAutoFormatting="1" itemPrintTitles="1" createdVersion="8" indent="0" outline="1" outlineData="1" multipleFieldFilters="0">
  <location ref="A1:A2"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Total Operators" fld="0" subtotal="count" baseField="0" baseItem="0">
      <extLst>
        <ext xmlns:x15="http://schemas.microsoft.com/office/spreadsheetml/2010/11/main" uri="{FABC7310-3BB5-11E1-824E-6D434824019B}">
          <x15:dataField isCountDistinct="1"/>
        </ext>
      </extLst>
    </dataField>
  </dataFields>
  <pivotHierarchies count="30">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caption="Total Operators"/>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Line_productivity]"/>
      </x15:pivotTableUISettings>
    </ext>
    <ext xmlns:xpdl="http://schemas.microsoft.com/office/spreadsheetml/2016/pivotdefaultlayout" uri="{747A6164-185A-40DC-8AA5-F01512510D54}">
      <xpdl:pivotTableDefinition16 EnabledSubtotalsDefault="0" SubtotalsOnTopDefault="0"/>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4" connectionId="4" xr16:uid="{B5C1603A-5C5A-46A5-AFF8-C46363934784}" autoFormatId="16" applyNumberFormats="0" applyBorderFormats="0" applyFontFormats="0" applyPatternFormats="0" applyAlignmentFormats="0" applyWidthHeightFormats="0">
  <queryTableRefresh nextId="5">
    <queryTableFields count="4">
      <queryTableField id="1" name="Product" tableColumnId="1"/>
      <queryTableField id="2" name="Flavor" tableColumnId="2"/>
      <queryTableField id="3" name="Size" tableColumnId="3"/>
      <queryTableField id="4" name="Min batch time" tableColumnId="4"/>
    </queryTable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3" connectionId="3" xr16:uid="{3D44BB95-3345-48D6-A817-EB973150BB7D}" autoFormatId="16" applyNumberFormats="0" applyBorderFormats="0" applyFontFormats="0" applyPatternFormats="0" applyAlignmentFormats="0" applyWidthHeightFormats="0">
  <queryTableRefresh nextId="7">
    <queryTableFields count="6">
      <queryTableField id="1" name="Date" tableColumnId="1"/>
      <queryTableField id="2" name="Product" tableColumnId="2"/>
      <queryTableField id="3" name="Batch" tableColumnId="3"/>
      <queryTableField id="4" name="Operator" tableColumnId="4"/>
      <queryTableField id="5" name="Start Time" tableColumnId="5"/>
      <queryTableField id="6" name="End Time" tableColumnId="6"/>
    </queryTableFields>
  </queryTableRefresh>
</queryTable>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ExternalData_2" connectionId="2" xr16:uid="{112C4A83-ED97-49C1-8EAF-94C6E110017B}" autoFormatId="16" applyNumberFormats="0" applyBorderFormats="0" applyFontFormats="0" applyPatternFormats="0" applyAlignmentFormats="0" applyWidthHeightFormats="0">
  <queryTableRefresh nextId="4">
    <queryTableFields count="3">
      <queryTableField id="1" name="Batch" tableColumnId="1"/>
      <queryTableField id="2" name="Factor" tableColumnId="2"/>
      <queryTableField id="3" name="Value (In mins)" tableColumnId="3"/>
    </queryTableFields>
  </queryTableRefresh>
</queryTable>
</file>

<file path=xl/queryTables/queryTable4.xml><?xml version="1.0" encoding="utf-8"?>
<queryTable xmlns="http://schemas.openxmlformats.org/spreadsheetml/2006/main" xmlns:mc="http://schemas.openxmlformats.org/markup-compatibility/2006" xmlns:xr16="http://schemas.microsoft.com/office/spreadsheetml/2017/revision16" mc:Ignorable="xr16" name="ExternalData_1" connectionId="1" xr16:uid="{467F41C4-8B5E-47CB-B8BA-A93F2819E7F7}" autoFormatId="16" applyNumberFormats="0" applyBorderFormats="0" applyFontFormats="0" applyPatternFormats="0" applyAlignmentFormats="0" applyWidthHeightFormats="0">
  <queryTableRefresh nextId="4">
    <queryTableFields count="3">
      <queryTableField id="1" name="Factor" tableColumnId="1"/>
      <queryTableField id="2" name="Description" tableColumnId="2"/>
      <queryTableField id="3" name="Operator Error" tableColumnId="3"/>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scription" xr10:uid="{DE461E3D-98A6-4373-875B-4E5BB200ABAE}" sourceName="[Downtime_factors].[Description]">
  <pivotTables>
    <pivotTable tabId="1" name="PivotTable1"/>
    <pivotTable tabId="1" name="PivotTable2"/>
    <pivotTable tabId="1" name="PivotTable3"/>
    <pivotTable tabId="1" name="PivotTable4"/>
    <pivotTable tabId="1" name="PivotTable5"/>
    <pivotTable tabId="1" name="PivotTable6"/>
    <pivotTable tabId="1" name="PivotTable7"/>
    <pivotTable tabId="1" name="PivotTable8"/>
  </pivotTables>
  <data>
    <olap pivotCacheId="1942423980">
      <levels count="2">
        <level uniqueName="[Downtime_factors].[Description].[(All)]" sourceCaption="(All)" count="0"/>
        <level uniqueName="[Downtime_factors].[Description].[Description]" sourceCaption="Description" count="12">
          <ranges>
            <range startItem="0">
              <i n="[Downtime_factors].[Description].&amp;[Batch change]" c="Batch change"/>
              <i n="[Downtime_factors].[Description].&amp;[Batch coding error]" c="Batch coding error"/>
              <i n="[Downtime_factors].[Description].&amp;[Calibration error]" c="Calibration error"/>
              <i n="[Downtime_factors].[Description].&amp;[Conveyor belt jam]" c="Conveyor belt jam"/>
              <i n="[Downtime_factors].[Description].&amp;[Emergency stop]" c="Emergency stop"/>
              <i n="[Downtime_factors].[Description].&amp;[Inventory shortage]" c="Inventory shortage"/>
              <i n="[Downtime_factors].[Description].&amp;[Label switch]" c="Label switch"/>
              <i n="[Downtime_factors].[Description].&amp;[Labeling error]" c="Labeling error"/>
              <i n="[Downtime_factors].[Description].&amp;[Machine adjustment]" c="Machine adjustment"/>
              <i n="[Downtime_factors].[Description].&amp;[Machine failure]" c="Machine failure"/>
              <i n="[Downtime_factors].[Description].&amp;[Other]" c="Other"/>
              <i n="[Downtime_factors].[Description].&amp;[Product spill]" c="Product spill"/>
            </range>
          </ranges>
        </level>
      </levels>
      <selections count="1">
        <selection n="[Downtime_factors].[Description].[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perator" xr10:uid="{8ECA5F16-6038-4E26-86C7-B50AC1D08787}" sourceName="[Line_productivity].[Operator]">
  <pivotTables>
    <pivotTable tabId="1" name="PivotTable1"/>
    <pivotTable tabId="1" name="PivotTable2"/>
    <pivotTable tabId="1" name="PivotTable3"/>
    <pivotTable tabId="1" name="PivotTable4"/>
    <pivotTable tabId="1" name="PivotTable5"/>
    <pivotTable tabId="1" name="PivotTable6"/>
    <pivotTable tabId="1" name="PivotTable7"/>
    <pivotTable tabId="1" name="PivotTable8"/>
  </pivotTables>
  <data>
    <olap pivotCacheId="1942423980">
      <levels count="2">
        <level uniqueName="[Line_productivity].[Operator].[(All)]" sourceCaption="(All)" count="0"/>
        <level uniqueName="[Line_productivity].[Operator].[Operator]" sourceCaption="Operator" count="4">
          <ranges>
            <range startItem="0">
              <i n="[Line_productivity].[Operator].&amp;[Charlie]" c="Charlie"/>
              <i n="[Line_productivity].[Operator].&amp;[Dee]" c="Dee"/>
              <i n="[Line_productivity].[Operator].&amp;[Dennis]" c="Dennis"/>
              <i n="[Line_productivity].[Operator].&amp;[Mac]" c="Mac"/>
            </range>
          </ranges>
        </level>
      </levels>
      <selections count="1">
        <selection n="[Line_productivity].[Operator].[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escription" xr10:uid="{34126FFC-AA8A-4D64-8A07-8A64732E85FC}" cache="Slicer_Description" caption="Description" level="1" style="SlicerStyleOther1" rowHeight="234950"/>
  <slicer name="Operator" xr10:uid="{9F3F9705-4632-4029-8754-91DC2DF29270}" cache="Slicer_Operator" caption="Operator" level="1" style="SlicerStyleOther1" rowHeight="23495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_rels/table3.xml.rels><?xml version="1.0" encoding="UTF-8" standalone="yes"?>
<Relationships xmlns="http://schemas.openxmlformats.org/package/2006/relationships"><Relationship Id="rId1" Type="http://schemas.openxmlformats.org/officeDocument/2006/relationships/queryTable" Target="../queryTables/queryTable3.xml"/></Relationships>
</file>

<file path=xl/tables/_rels/table4.xml.rels><?xml version="1.0" encoding="UTF-8" standalone="yes"?>
<Relationships xmlns="http://schemas.openxmlformats.org/package/2006/relationships"><Relationship Id="rId1" Type="http://schemas.openxmlformats.org/officeDocument/2006/relationships/queryTable" Target="../queryTables/queryTable4.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682663F9-D0D1-443A-8C32-21C71F82E6B7}" name="Products" displayName="Products" ref="A1:D7" tableType="queryTable" totalsRowShown="0">
  <autoFilter ref="A1:D7" xr:uid="{682663F9-D0D1-443A-8C32-21C71F82E6B7}"/>
  <tableColumns count="4">
    <tableColumn id="1" xr3:uid="{5A760226-E0D1-4B37-9B1C-747C450FE96F}" uniqueName="1" name="Product" queryTableFieldId="1" dataDxfId="10"/>
    <tableColumn id="2" xr3:uid="{7C5C7C39-F96A-412C-8B0A-0BEF9881DC5B}" uniqueName="2" name="Flavor" queryTableFieldId="2" dataDxfId="9"/>
    <tableColumn id="3" xr3:uid="{0A4B5DDB-D948-4A10-9D4F-062707006C97}" uniqueName="3" name="Size" queryTableFieldId="3" dataDxfId="8"/>
    <tableColumn id="4" xr3:uid="{D9B18473-978C-4858-81A1-DC2C88AB5AB7}" uniqueName="4" name="Min batch time" queryTableFieldId="4"/>
  </tableColumns>
  <tableStyleInfo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9A82DD8A-3716-4879-ADB3-085F31A76AC2}" name="Line_productivity" displayName="Line_productivity" ref="A1:F39" tableType="queryTable" totalsRowShown="0">
  <autoFilter ref="A1:F39" xr:uid="{9A82DD8A-3716-4879-ADB3-085F31A76AC2}"/>
  <tableColumns count="6">
    <tableColumn id="1" xr3:uid="{64123BB4-BE55-4805-AE9C-9E948C9A6094}" uniqueName="1" name="Date" queryTableFieldId="1" dataDxfId="7"/>
    <tableColumn id="2" xr3:uid="{145362A6-CD71-43C9-A04A-58863C405FD1}" uniqueName="2" name="Product" queryTableFieldId="2" dataDxfId="6"/>
    <tableColumn id="3" xr3:uid="{F244D04A-F7B3-4BBE-B0A4-C4A3AE5313F6}" uniqueName="3" name="Batch" queryTableFieldId="3"/>
    <tableColumn id="4" xr3:uid="{824B4470-0288-43B8-86D7-C33493B89628}" uniqueName="4" name="Operator" queryTableFieldId="4" dataDxfId="5"/>
    <tableColumn id="5" xr3:uid="{FCF553CC-E541-41CC-BE85-FB19414602EA}" uniqueName="5" name="Start Time" queryTableFieldId="5" dataDxfId="4"/>
    <tableColumn id="6" xr3:uid="{14E2C5FF-B9CD-43AD-A622-727693AFC6A3}" uniqueName="6" name="End Time" queryTableFieldId="6" dataDxfId="3"/>
  </tableColumns>
  <tableStyleInfo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A3B0809A-CCB1-4220-8BAE-54BBCD8CF898}" name="Line_downtime" displayName="Line_downtime" ref="A1:C62" tableType="queryTable" totalsRowShown="0">
  <autoFilter ref="A1:C62" xr:uid="{A3B0809A-CCB1-4220-8BAE-54BBCD8CF898}"/>
  <tableColumns count="3">
    <tableColumn id="1" xr3:uid="{7A069C3C-85DE-4610-9A9C-2EE38BAA5F66}" uniqueName="1" name="Batch" queryTableFieldId="1"/>
    <tableColumn id="2" xr3:uid="{3C321BFE-8E73-456F-80D7-B85A90123B3B}" uniqueName="2" name="Factor" queryTableFieldId="2" dataDxfId="2"/>
    <tableColumn id="3" xr3:uid="{AF1E2F67-77A4-4330-9D2E-D9FD6B0C7BC0}" uniqueName="3" name="Value (In mins)" queryTableFieldId="3"/>
  </tableColumns>
  <tableStyleInfo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976D7CB9-AB65-4332-BB7C-537C563DC17D}" name="Downtime_factors" displayName="Downtime_factors" ref="A1:C13" tableType="queryTable" totalsRowShown="0">
  <autoFilter ref="A1:C13" xr:uid="{976D7CB9-AB65-4332-BB7C-537C563DC17D}"/>
  <tableColumns count="3">
    <tableColumn id="1" xr3:uid="{F1497A88-66E0-47A2-8C82-6135A72C011F}" uniqueName="1" name="Factor" queryTableFieldId="1"/>
    <tableColumn id="2" xr3:uid="{42F40C11-BC2E-40D1-B510-EAF493771A9A}" uniqueName="2" name="Description" queryTableFieldId="2" dataDxfId="1"/>
    <tableColumn id="3" xr3:uid="{00DD4E03-ABBC-40F0-95C1-9AEEE26A4C91}" uniqueName="3" name="Operator Error" queryTableFieldId="3" dataDxfId="0"/>
  </tableColumns>
  <tableStyleInfo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Timeline_Date" xr10:uid="{AE248031-7AFC-4147-A6CF-87FBE54353FE}" sourceName="[Line_productivity].[Date]">
  <pivotTables>
    <pivotTable tabId="1" name="PivotTable1"/>
    <pivotTable tabId="1" name="PivotTable2"/>
    <pivotTable tabId="1" name="PivotTable3"/>
    <pivotTable tabId="1" name="PivotTable4"/>
    <pivotTable tabId="1" name="PivotTable5"/>
    <pivotTable tabId="1" name="PivotTable6"/>
    <pivotTable tabId="1" name="PivotTable7"/>
    <pivotTable tabId="1" name="PivotTable8"/>
  </pivotTables>
  <state minimalRefreshVersion="6" lastRefreshVersion="6" pivotCacheId="1630476193" filterType="unknown">
    <bounds startDate="2024-01-01T00:00:00" endDate="2025-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Date" xr10:uid="{AF971B67-79B8-4D96-9C99-BAD83643D126}" cache="Timeline_Date" caption="Date" level="2" selectionLevel="2" scrollPosition="2024-06-01T00:00:00" style="Timeline Style 1"/>
</timelines>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4.xml.rels><?xml version="1.0" encoding="UTF-8" standalone="yes"?>
<Relationships xmlns="http://schemas.openxmlformats.org/package/2006/relationships"><Relationship Id="rId1" Type="http://schemas.openxmlformats.org/officeDocument/2006/relationships/table" Target="../tables/table4.xml"/></Relationships>
</file>

<file path=xl/worksheets/_rels/sheet5.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 Id="rId9" Type="http://schemas.openxmlformats.org/officeDocument/2006/relationships/drawing" Target="../drawings/drawing1.xml"/></Relationships>
</file>

<file path=xl/worksheets/_rels/sheet6.xml.rels><?xml version="1.0" encoding="UTF-8" standalone="yes"?>
<Relationships xmlns="http://schemas.openxmlformats.org/package/2006/relationships"><Relationship Id="rId3" Type="http://schemas.microsoft.com/office/2011/relationships/timeline" Target="../timelines/timeline1.xml"/><Relationship Id="rId2" Type="http://schemas.microsoft.com/office/2007/relationships/slicer" Target="../slicers/slicer1.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FA4DB4-7950-4B9A-9B54-0C5A789052A5}">
  <dimension ref="A1:D7"/>
  <sheetViews>
    <sheetView workbookViewId="0"/>
  </sheetViews>
  <sheetFormatPr defaultRowHeight="14.4" x14ac:dyDescent="0.3"/>
  <cols>
    <col min="1" max="1" width="9.88671875" bestFit="1" customWidth="1"/>
    <col min="2" max="2" width="10.44140625" bestFit="1" customWidth="1"/>
    <col min="3" max="3" width="6.44140625" bestFit="1" customWidth="1"/>
    <col min="4" max="4" width="16.109375" bestFit="1" customWidth="1"/>
  </cols>
  <sheetData>
    <row r="1" spans="1:4" x14ac:dyDescent="0.3">
      <c r="A1" t="s">
        <v>31</v>
      </c>
      <c r="B1" t="s">
        <v>45</v>
      </c>
      <c r="C1" t="s">
        <v>46</v>
      </c>
      <c r="D1" t="s">
        <v>47</v>
      </c>
    </row>
    <row r="2" spans="1:4" x14ac:dyDescent="0.3">
      <c r="A2" t="s">
        <v>35</v>
      </c>
      <c r="B2" t="s">
        <v>48</v>
      </c>
      <c r="C2" t="s">
        <v>49</v>
      </c>
      <c r="D2">
        <v>60</v>
      </c>
    </row>
    <row r="3" spans="1:4" x14ac:dyDescent="0.3">
      <c r="A3" t="s">
        <v>37</v>
      </c>
      <c r="B3" t="s">
        <v>50</v>
      </c>
      <c r="C3" t="s">
        <v>49</v>
      </c>
      <c r="D3">
        <v>60</v>
      </c>
    </row>
    <row r="4" spans="1:4" x14ac:dyDescent="0.3">
      <c r="A4" t="s">
        <v>39</v>
      </c>
      <c r="B4" t="s">
        <v>51</v>
      </c>
      <c r="C4" t="s">
        <v>49</v>
      </c>
      <c r="D4">
        <v>60</v>
      </c>
    </row>
    <row r="5" spans="1:4" x14ac:dyDescent="0.3">
      <c r="A5" t="s">
        <v>42</v>
      </c>
      <c r="B5" t="s">
        <v>52</v>
      </c>
      <c r="C5" t="s">
        <v>49</v>
      </c>
      <c r="D5">
        <v>60</v>
      </c>
    </row>
    <row r="6" spans="1:4" x14ac:dyDescent="0.3">
      <c r="A6" t="s">
        <v>43</v>
      </c>
      <c r="B6" t="s">
        <v>53</v>
      </c>
      <c r="C6" t="s">
        <v>49</v>
      </c>
      <c r="D6">
        <v>60</v>
      </c>
    </row>
    <row r="7" spans="1:4" x14ac:dyDescent="0.3">
      <c r="A7" t="s">
        <v>44</v>
      </c>
      <c r="B7" t="s">
        <v>51</v>
      </c>
      <c r="C7" t="s">
        <v>54</v>
      </c>
      <c r="D7">
        <v>98</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43A5A7-A64D-4926-BD07-931D0E6BBD5D}">
  <dimension ref="A1:F39"/>
  <sheetViews>
    <sheetView workbookViewId="0"/>
  </sheetViews>
  <sheetFormatPr defaultRowHeight="14.4" x14ac:dyDescent="0.3"/>
  <cols>
    <col min="1" max="1" width="10.33203125" bestFit="1" customWidth="1"/>
    <col min="2" max="2" width="9.88671875" bestFit="1" customWidth="1"/>
    <col min="3" max="3" width="8" bestFit="1" customWidth="1"/>
    <col min="4" max="4" width="10.77734375" bestFit="1" customWidth="1"/>
    <col min="5" max="6" width="15.44140625" bestFit="1" customWidth="1"/>
  </cols>
  <sheetData>
    <row r="1" spans="1:6" x14ac:dyDescent="0.3">
      <c r="A1" t="s">
        <v>30</v>
      </c>
      <c r="B1" t="s">
        <v>31</v>
      </c>
      <c r="C1" t="s">
        <v>17</v>
      </c>
      <c r="D1" t="s">
        <v>32</v>
      </c>
      <c r="E1" t="s">
        <v>33</v>
      </c>
      <c r="F1" t="s">
        <v>34</v>
      </c>
    </row>
    <row r="2" spans="1:6" x14ac:dyDescent="0.3">
      <c r="A2" s="1">
        <v>45533</v>
      </c>
      <c r="B2" t="s">
        <v>35</v>
      </c>
      <c r="C2">
        <v>422111</v>
      </c>
      <c r="D2" t="s">
        <v>36</v>
      </c>
      <c r="E2" s="2">
        <v>0.49305555555555558</v>
      </c>
      <c r="F2" s="2">
        <v>0.58680555555555558</v>
      </c>
    </row>
    <row r="3" spans="1:6" x14ac:dyDescent="0.3">
      <c r="A3" s="1">
        <v>45533</v>
      </c>
      <c r="B3" t="s">
        <v>37</v>
      </c>
      <c r="C3">
        <v>422112</v>
      </c>
      <c r="D3" t="s">
        <v>36</v>
      </c>
      <c r="E3" s="2">
        <v>0.58680555555555558</v>
      </c>
      <c r="F3" s="2">
        <v>0.65625</v>
      </c>
    </row>
    <row r="4" spans="1:6" x14ac:dyDescent="0.3">
      <c r="A4" s="1">
        <v>45533</v>
      </c>
      <c r="B4" t="s">
        <v>37</v>
      </c>
      <c r="C4">
        <v>422113</v>
      </c>
      <c r="D4" t="s">
        <v>36</v>
      </c>
      <c r="E4" s="2">
        <v>0.65625</v>
      </c>
      <c r="F4" s="2">
        <v>0.73263888888888884</v>
      </c>
    </row>
    <row r="5" spans="1:6" x14ac:dyDescent="0.3">
      <c r="A5" s="1">
        <v>45533</v>
      </c>
      <c r="B5" t="s">
        <v>37</v>
      </c>
      <c r="C5">
        <v>422114</v>
      </c>
      <c r="D5" t="s">
        <v>36</v>
      </c>
      <c r="E5" s="2">
        <v>0.73263888888888884</v>
      </c>
      <c r="F5" s="2">
        <v>0.80208333333333326</v>
      </c>
    </row>
    <row r="6" spans="1:6" x14ac:dyDescent="0.3">
      <c r="A6" s="1">
        <v>45533</v>
      </c>
      <c r="B6" t="s">
        <v>37</v>
      </c>
      <c r="C6">
        <v>422115</v>
      </c>
      <c r="D6" t="s">
        <v>38</v>
      </c>
      <c r="E6" s="2">
        <v>0.80208333333333326</v>
      </c>
      <c r="F6" s="2">
        <v>0.86041666666666661</v>
      </c>
    </row>
    <row r="7" spans="1:6" x14ac:dyDescent="0.3">
      <c r="A7" s="1">
        <v>45533</v>
      </c>
      <c r="B7" t="s">
        <v>37</v>
      </c>
      <c r="C7">
        <v>422116</v>
      </c>
      <c r="D7" t="s">
        <v>38</v>
      </c>
      <c r="E7" s="2">
        <v>0.86041666666666661</v>
      </c>
      <c r="F7" s="2">
        <v>0.90208333333333335</v>
      </c>
    </row>
    <row r="8" spans="1:6" x14ac:dyDescent="0.3">
      <c r="A8" s="1">
        <v>45533</v>
      </c>
      <c r="B8" t="s">
        <v>37</v>
      </c>
      <c r="C8">
        <v>422117</v>
      </c>
      <c r="D8" t="s">
        <v>38</v>
      </c>
      <c r="E8" s="2">
        <v>0.90208333333333335</v>
      </c>
      <c r="F8" s="2">
        <v>0.95416666666666661</v>
      </c>
    </row>
    <row r="9" spans="1:6" x14ac:dyDescent="0.3">
      <c r="A9" s="1">
        <v>45534</v>
      </c>
      <c r="B9" t="s">
        <v>39</v>
      </c>
      <c r="C9">
        <v>422118</v>
      </c>
      <c r="D9" t="s">
        <v>40</v>
      </c>
      <c r="E9" s="2">
        <v>0.17013888888888884</v>
      </c>
      <c r="F9" s="2">
        <v>0.25347222222222232</v>
      </c>
    </row>
    <row r="10" spans="1:6" x14ac:dyDescent="0.3">
      <c r="A10" s="1">
        <v>45534</v>
      </c>
      <c r="B10" t="s">
        <v>39</v>
      </c>
      <c r="C10">
        <v>422119</v>
      </c>
      <c r="D10" t="s">
        <v>40</v>
      </c>
      <c r="E10" s="2">
        <v>0.25347222222222232</v>
      </c>
      <c r="F10" s="2">
        <v>0.3125</v>
      </c>
    </row>
    <row r="11" spans="1:6" x14ac:dyDescent="0.3">
      <c r="A11" s="1">
        <v>45534</v>
      </c>
      <c r="B11" t="s">
        <v>39</v>
      </c>
      <c r="C11">
        <v>422120</v>
      </c>
      <c r="D11" t="s">
        <v>40</v>
      </c>
      <c r="E11" s="2">
        <v>0.3125</v>
      </c>
      <c r="F11" s="2">
        <v>0.39027777777777772</v>
      </c>
    </row>
    <row r="12" spans="1:6" x14ac:dyDescent="0.3">
      <c r="A12" s="1">
        <v>45534</v>
      </c>
      <c r="B12" t="s">
        <v>39</v>
      </c>
      <c r="C12">
        <v>422121</v>
      </c>
      <c r="D12" t="s">
        <v>41</v>
      </c>
      <c r="E12" s="2">
        <v>0.39027777777777772</v>
      </c>
      <c r="F12" s="2">
        <v>0.4423611111111112</v>
      </c>
    </row>
    <row r="13" spans="1:6" x14ac:dyDescent="0.3">
      <c r="A13" s="1">
        <v>45534</v>
      </c>
      <c r="B13" t="s">
        <v>39</v>
      </c>
      <c r="C13">
        <v>422122</v>
      </c>
      <c r="D13" t="s">
        <v>41</v>
      </c>
      <c r="E13" s="2">
        <v>0.4423611111111112</v>
      </c>
      <c r="F13" s="2">
        <v>0.50138888888888888</v>
      </c>
    </row>
    <row r="14" spans="1:6" x14ac:dyDescent="0.3">
      <c r="A14" s="1">
        <v>45534</v>
      </c>
      <c r="B14" t="s">
        <v>39</v>
      </c>
      <c r="C14">
        <v>422123</v>
      </c>
      <c r="D14" t="s">
        <v>41</v>
      </c>
      <c r="E14" s="2">
        <v>0.50138888888888888</v>
      </c>
      <c r="F14" s="2">
        <v>0.59375</v>
      </c>
    </row>
    <row r="15" spans="1:6" x14ac:dyDescent="0.3">
      <c r="A15" s="1">
        <v>45534</v>
      </c>
      <c r="B15" t="s">
        <v>39</v>
      </c>
      <c r="C15">
        <v>422124</v>
      </c>
      <c r="D15" t="s">
        <v>41</v>
      </c>
      <c r="E15" s="2">
        <v>0.59375</v>
      </c>
      <c r="F15" s="2">
        <v>0.66319444444444442</v>
      </c>
    </row>
    <row r="16" spans="1:6" x14ac:dyDescent="0.3">
      <c r="A16" s="1">
        <v>45534</v>
      </c>
      <c r="B16" t="s">
        <v>39</v>
      </c>
      <c r="C16">
        <v>422125</v>
      </c>
      <c r="D16" t="s">
        <v>38</v>
      </c>
      <c r="E16" s="2">
        <v>0.66319444444444442</v>
      </c>
      <c r="F16" s="2">
        <v>0.71875</v>
      </c>
    </row>
    <row r="17" spans="1:6" x14ac:dyDescent="0.3">
      <c r="A17" s="1">
        <v>45534</v>
      </c>
      <c r="B17" t="s">
        <v>39</v>
      </c>
      <c r="C17">
        <v>422126</v>
      </c>
      <c r="D17" t="s">
        <v>38</v>
      </c>
      <c r="E17" s="2">
        <v>0.71875</v>
      </c>
      <c r="F17" s="2">
        <v>0.79097222222222219</v>
      </c>
    </row>
    <row r="18" spans="1:6" x14ac:dyDescent="0.3">
      <c r="A18" s="1">
        <v>45534</v>
      </c>
      <c r="B18" t="s">
        <v>39</v>
      </c>
      <c r="C18">
        <v>422127</v>
      </c>
      <c r="D18" t="s">
        <v>38</v>
      </c>
      <c r="E18" s="2">
        <v>0.79097222222222219</v>
      </c>
      <c r="F18" s="2">
        <v>0.8486111111111112</v>
      </c>
    </row>
    <row r="19" spans="1:6" x14ac:dyDescent="0.3">
      <c r="A19" s="1">
        <v>45534</v>
      </c>
      <c r="B19" t="s">
        <v>39</v>
      </c>
      <c r="C19">
        <v>422128</v>
      </c>
      <c r="D19" t="s">
        <v>38</v>
      </c>
      <c r="E19" s="2">
        <v>0.8486111111111112</v>
      </c>
      <c r="F19" s="2">
        <v>0.92638888888888893</v>
      </c>
    </row>
    <row r="20" spans="1:6" x14ac:dyDescent="0.3">
      <c r="A20" s="1">
        <v>45534</v>
      </c>
      <c r="B20" t="s">
        <v>39</v>
      </c>
      <c r="C20">
        <v>422129</v>
      </c>
      <c r="D20" t="s">
        <v>38</v>
      </c>
      <c r="E20" s="2">
        <v>0.92638888888888893</v>
      </c>
      <c r="F20" s="2">
        <v>0.97847222222222219</v>
      </c>
    </row>
    <row r="21" spans="1:6" x14ac:dyDescent="0.3">
      <c r="A21" s="1">
        <v>45535</v>
      </c>
      <c r="B21" t="s">
        <v>39</v>
      </c>
      <c r="C21">
        <v>422130</v>
      </c>
      <c r="D21" t="s">
        <v>40</v>
      </c>
      <c r="E21" s="2">
        <v>0.32291666666666674</v>
      </c>
      <c r="F21" s="2">
        <v>0.37847222222222232</v>
      </c>
    </row>
    <row r="22" spans="1:6" x14ac:dyDescent="0.3">
      <c r="A22" s="1">
        <v>45535</v>
      </c>
      <c r="B22" t="s">
        <v>39</v>
      </c>
      <c r="C22">
        <v>422131</v>
      </c>
      <c r="D22" t="s">
        <v>40</v>
      </c>
      <c r="E22" s="2">
        <v>0.37847222222222232</v>
      </c>
      <c r="F22" s="2">
        <v>0.44097222222222232</v>
      </c>
    </row>
    <row r="23" spans="1:6" x14ac:dyDescent="0.3">
      <c r="A23" s="1">
        <v>45535</v>
      </c>
      <c r="B23" t="s">
        <v>39</v>
      </c>
      <c r="C23">
        <v>422132</v>
      </c>
      <c r="D23" t="s">
        <v>40</v>
      </c>
      <c r="E23" s="2">
        <v>0.44097222222222232</v>
      </c>
      <c r="F23" s="2">
        <v>0.48263888888888884</v>
      </c>
    </row>
    <row r="24" spans="1:6" x14ac:dyDescent="0.3">
      <c r="A24" s="1">
        <v>45535</v>
      </c>
      <c r="B24" t="s">
        <v>42</v>
      </c>
      <c r="C24">
        <v>422133</v>
      </c>
      <c r="D24" t="s">
        <v>40</v>
      </c>
      <c r="E24" s="2">
        <v>0.48263888888888884</v>
      </c>
      <c r="F24" s="2">
        <v>0.53819444444444442</v>
      </c>
    </row>
    <row r="25" spans="1:6" x14ac:dyDescent="0.3">
      <c r="A25" s="1">
        <v>45535</v>
      </c>
      <c r="B25" t="s">
        <v>42</v>
      </c>
      <c r="C25">
        <v>422134</v>
      </c>
      <c r="D25" t="s">
        <v>36</v>
      </c>
      <c r="E25" s="2">
        <v>0.53819444444444442</v>
      </c>
      <c r="F25" s="2">
        <v>0.61458333333333326</v>
      </c>
    </row>
    <row r="26" spans="1:6" x14ac:dyDescent="0.3">
      <c r="A26" s="1">
        <v>45535</v>
      </c>
      <c r="B26" t="s">
        <v>42</v>
      </c>
      <c r="C26">
        <v>422135</v>
      </c>
      <c r="D26" t="s">
        <v>36</v>
      </c>
      <c r="E26" s="2">
        <v>0.61458333333333326</v>
      </c>
      <c r="F26" s="2">
        <v>0.6875</v>
      </c>
    </row>
    <row r="27" spans="1:6" x14ac:dyDescent="0.3">
      <c r="A27" s="1">
        <v>45535</v>
      </c>
      <c r="B27" t="s">
        <v>42</v>
      </c>
      <c r="C27">
        <v>422136</v>
      </c>
      <c r="D27" t="s">
        <v>36</v>
      </c>
      <c r="E27" s="2">
        <v>0.6875</v>
      </c>
      <c r="F27" s="2">
        <v>0.72916666666666674</v>
      </c>
    </row>
    <row r="28" spans="1:6" x14ac:dyDescent="0.3">
      <c r="A28" s="1">
        <v>45537</v>
      </c>
      <c r="B28" t="s">
        <v>43</v>
      </c>
      <c r="C28">
        <v>422137</v>
      </c>
      <c r="D28" t="s">
        <v>40</v>
      </c>
      <c r="E28" s="2">
        <v>4.1666666666666741E-2</v>
      </c>
      <c r="F28" s="2">
        <v>0.11458333333333326</v>
      </c>
    </row>
    <row r="29" spans="1:6" x14ac:dyDescent="0.3">
      <c r="A29" s="1">
        <v>45537</v>
      </c>
      <c r="B29" t="s">
        <v>43</v>
      </c>
      <c r="C29">
        <v>422138</v>
      </c>
      <c r="D29" t="s">
        <v>40</v>
      </c>
      <c r="E29" s="2">
        <v>0.11458333333333326</v>
      </c>
      <c r="F29" s="2">
        <v>0.17013888888888884</v>
      </c>
    </row>
    <row r="30" spans="1:6" x14ac:dyDescent="0.3">
      <c r="A30" s="1">
        <v>45537</v>
      </c>
      <c r="B30" t="s">
        <v>43</v>
      </c>
      <c r="C30">
        <v>422139</v>
      </c>
      <c r="D30" t="s">
        <v>40</v>
      </c>
      <c r="E30" s="2">
        <v>0.17013888888888884</v>
      </c>
      <c r="F30" s="2">
        <v>0.23611111111111116</v>
      </c>
    </row>
    <row r="31" spans="1:6" x14ac:dyDescent="0.3">
      <c r="A31" s="1">
        <v>45537</v>
      </c>
      <c r="B31" t="s">
        <v>43</v>
      </c>
      <c r="C31">
        <v>422140</v>
      </c>
      <c r="D31" t="s">
        <v>40</v>
      </c>
      <c r="E31" s="2">
        <v>0.23611111111111116</v>
      </c>
      <c r="F31" s="2">
        <v>0.32152777777777786</v>
      </c>
    </row>
    <row r="32" spans="1:6" x14ac:dyDescent="0.3">
      <c r="A32" s="1">
        <v>45537</v>
      </c>
      <c r="B32" t="s">
        <v>43</v>
      </c>
      <c r="C32">
        <v>422141</v>
      </c>
      <c r="D32" t="s">
        <v>41</v>
      </c>
      <c r="E32" s="2">
        <v>0.32152777777777786</v>
      </c>
      <c r="F32" s="2">
        <v>0.36805555555555558</v>
      </c>
    </row>
    <row r="33" spans="1:6" x14ac:dyDescent="0.3">
      <c r="A33" s="1">
        <v>45537</v>
      </c>
      <c r="B33" t="s">
        <v>43</v>
      </c>
      <c r="C33">
        <v>422142</v>
      </c>
      <c r="D33" t="s">
        <v>41</v>
      </c>
      <c r="E33" s="2">
        <v>0.36805555555555558</v>
      </c>
      <c r="F33" s="2">
        <v>0.43055555555555558</v>
      </c>
    </row>
    <row r="34" spans="1:6" x14ac:dyDescent="0.3">
      <c r="A34" s="1">
        <v>45537</v>
      </c>
      <c r="B34" t="s">
        <v>43</v>
      </c>
      <c r="C34">
        <v>422143</v>
      </c>
      <c r="D34" t="s">
        <v>41</v>
      </c>
      <c r="E34" s="2">
        <v>0.43055555555555558</v>
      </c>
      <c r="F34" s="2">
        <v>0.51249999999999996</v>
      </c>
    </row>
    <row r="35" spans="1:6" x14ac:dyDescent="0.3">
      <c r="A35" s="1">
        <v>45537</v>
      </c>
      <c r="B35" t="s">
        <v>44</v>
      </c>
      <c r="C35">
        <v>422144</v>
      </c>
      <c r="D35" t="s">
        <v>41</v>
      </c>
      <c r="E35" s="2">
        <v>0.51249999999999996</v>
      </c>
      <c r="F35" s="2">
        <v>0.61805555555555558</v>
      </c>
    </row>
    <row r="36" spans="1:6" x14ac:dyDescent="0.3">
      <c r="A36" s="1">
        <v>45537</v>
      </c>
      <c r="B36" t="s">
        <v>44</v>
      </c>
      <c r="C36">
        <v>422145</v>
      </c>
      <c r="D36" t="s">
        <v>38</v>
      </c>
      <c r="E36" s="2">
        <v>0.61805555555555558</v>
      </c>
      <c r="F36" s="2">
        <v>0.70138888888888884</v>
      </c>
    </row>
    <row r="37" spans="1:6" x14ac:dyDescent="0.3">
      <c r="A37" s="1">
        <v>45537</v>
      </c>
      <c r="B37" t="s">
        <v>44</v>
      </c>
      <c r="C37">
        <v>422146</v>
      </c>
      <c r="D37" t="s">
        <v>38</v>
      </c>
      <c r="E37" s="2">
        <v>0.70138888888888884</v>
      </c>
      <c r="F37" s="2">
        <v>0.8125</v>
      </c>
    </row>
    <row r="38" spans="1:6" x14ac:dyDescent="0.3">
      <c r="A38" s="1">
        <v>45537</v>
      </c>
      <c r="B38" t="s">
        <v>44</v>
      </c>
      <c r="C38">
        <v>422147</v>
      </c>
      <c r="D38" t="s">
        <v>38</v>
      </c>
      <c r="E38" s="2">
        <v>0.8125</v>
      </c>
      <c r="F38" s="2">
        <v>0.95486111111111116</v>
      </c>
    </row>
    <row r="39" spans="1:6" x14ac:dyDescent="0.3">
      <c r="A39" s="1">
        <v>45538</v>
      </c>
      <c r="B39" t="s">
        <v>44</v>
      </c>
      <c r="C39">
        <v>422148</v>
      </c>
      <c r="D39" t="s">
        <v>36</v>
      </c>
      <c r="E39" s="2">
        <v>0.95486111111111116</v>
      </c>
      <c r="F39" s="2">
        <v>1.0451388888888888</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11DA09-A357-4AA3-A72E-319B105B162D}">
  <dimension ref="A1:C62"/>
  <sheetViews>
    <sheetView workbookViewId="0"/>
  </sheetViews>
  <sheetFormatPr defaultRowHeight="14.4" x14ac:dyDescent="0.3"/>
  <cols>
    <col min="1" max="1" width="8" bestFit="1" customWidth="1"/>
    <col min="2" max="2" width="8.44140625" bestFit="1" customWidth="1"/>
    <col min="3" max="3" width="16" bestFit="1" customWidth="1"/>
  </cols>
  <sheetData>
    <row r="1" spans="1:3" x14ac:dyDescent="0.3">
      <c r="A1" t="s">
        <v>17</v>
      </c>
      <c r="B1" t="s">
        <v>0</v>
      </c>
      <c r="C1" t="s">
        <v>18</v>
      </c>
    </row>
    <row r="2" spans="1:3" x14ac:dyDescent="0.3">
      <c r="A2">
        <v>422111</v>
      </c>
      <c r="B2" t="s">
        <v>19</v>
      </c>
      <c r="C2">
        <v>60</v>
      </c>
    </row>
    <row r="3" spans="1:3" x14ac:dyDescent="0.3">
      <c r="A3">
        <v>422111</v>
      </c>
      <c r="B3" t="s">
        <v>20</v>
      </c>
      <c r="C3">
        <v>15</v>
      </c>
    </row>
    <row r="4" spans="1:3" x14ac:dyDescent="0.3">
      <c r="A4">
        <v>422112</v>
      </c>
      <c r="B4" t="s">
        <v>19</v>
      </c>
      <c r="C4">
        <v>20</v>
      </c>
    </row>
    <row r="5" spans="1:3" x14ac:dyDescent="0.3">
      <c r="A5">
        <v>422112</v>
      </c>
      <c r="B5" t="s">
        <v>21</v>
      </c>
      <c r="C5">
        <v>20</v>
      </c>
    </row>
    <row r="6" spans="1:3" x14ac:dyDescent="0.3">
      <c r="A6">
        <v>422113</v>
      </c>
      <c r="B6" t="s">
        <v>19</v>
      </c>
      <c r="C6">
        <v>50</v>
      </c>
    </row>
    <row r="7" spans="1:3" x14ac:dyDescent="0.3">
      <c r="A7">
        <v>422114</v>
      </c>
      <c r="B7" t="s">
        <v>22</v>
      </c>
      <c r="C7">
        <v>25</v>
      </c>
    </row>
    <row r="8" spans="1:3" x14ac:dyDescent="0.3">
      <c r="A8">
        <v>422114</v>
      </c>
      <c r="B8" t="s">
        <v>23</v>
      </c>
      <c r="C8">
        <v>15</v>
      </c>
    </row>
    <row r="9" spans="1:3" x14ac:dyDescent="0.3">
      <c r="A9">
        <v>422115</v>
      </c>
      <c r="B9" t="s">
        <v>24</v>
      </c>
      <c r="C9">
        <v>24</v>
      </c>
    </row>
    <row r="10" spans="1:3" x14ac:dyDescent="0.3">
      <c r="A10">
        <v>422117</v>
      </c>
      <c r="B10" t="s">
        <v>19</v>
      </c>
      <c r="C10">
        <v>10</v>
      </c>
    </row>
    <row r="11" spans="1:3" x14ac:dyDescent="0.3">
      <c r="A11">
        <v>422117</v>
      </c>
      <c r="B11" t="s">
        <v>23</v>
      </c>
      <c r="C11">
        <v>5</v>
      </c>
    </row>
    <row r="12" spans="1:3" x14ac:dyDescent="0.3">
      <c r="A12">
        <v>422118</v>
      </c>
      <c r="B12" t="s">
        <v>23</v>
      </c>
      <c r="C12">
        <v>14</v>
      </c>
    </row>
    <row r="13" spans="1:3" x14ac:dyDescent="0.3">
      <c r="A13">
        <v>422118</v>
      </c>
      <c r="B13" t="s">
        <v>20</v>
      </c>
      <c r="C13">
        <v>16</v>
      </c>
    </row>
    <row r="14" spans="1:3" x14ac:dyDescent="0.3">
      <c r="A14">
        <v>422118</v>
      </c>
      <c r="B14" t="s">
        <v>25</v>
      </c>
      <c r="C14">
        <v>10</v>
      </c>
    </row>
    <row r="15" spans="1:3" x14ac:dyDescent="0.3">
      <c r="A15">
        <v>422118</v>
      </c>
      <c r="B15" t="s">
        <v>26</v>
      </c>
      <c r="C15">
        <v>20</v>
      </c>
    </row>
    <row r="16" spans="1:3" x14ac:dyDescent="0.3">
      <c r="A16">
        <v>422119</v>
      </c>
      <c r="B16" t="s">
        <v>22</v>
      </c>
      <c r="C16">
        <v>25</v>
      </c>
    </row>
    <row r="17" spans="1:3" x14ac:dyDescent="0.3">
      <c r="A17">
        <v>422120</v>
      </c>
      <c r="B17" t="s">
        <v>22</v>
      </c>
      <c r="C17">
        <v>20</v>
      </c>
    </row>
    <row r="18" spans="1:3" x14ac:dyDescent="0.3">
      <c r="A18">
        <v>422120</v>
      </c>
      <c r="B18" t="s">
        <v>27</v>
      </c>
      <c r="C18">
        <v>15</v>
      </c>
    </row>
    <row r="19" spans="1:3" x14ac:dyDescent="0.3">
      <c r="A19">
        <v>422120</v>
      </c>
      <c r="B19" t="s">
        <v>28</v>
      </c>
      <c r="C19">
        <v>17</v>
      </c>
    </row>
    <row r="20" spans="1:3" x14ac:dyDescent="0.3">
      <c r="A20">
        <v>422121</v>
      </c>
      <c r="B20" t="s">
        <v>20</v>
      </c>
      <c r="C20">
        <v>15</v>
      </c>
    </row>
    <row r="21" spans="1:3" x14ac:dyDescent="0.3">
      <c r="A21">
        <v>422122</v>
      </c>
      <c r="B21" t="s">
        <v>20</v>
      </c>
      <c r="C21">
        <v>25</v>
      </c>
    </row>
    <row r="22" spans="1:3" x14ac:dyDescent="0.3">
      <c r="A22">
        <v>422123</v>
      </c>
      <c r="B22" t="s">
        <v>22</v>
      </c>
      <c r="C22">
        <v>43</v>
      </c>
    </row>
    <row r="23" spans="1:3" x14ac:dyDescent="0.3">
      <c r="A23">
        <v>422123</v>
      </c>
      <c r="B23" t="s">
        <v>20</v>
      </c>
      <c r="C23">
        <v>30</v>
      </c>
    </row>
    <row r="24" spans="1:3" x14ac:dyDescent="0.3">
      <c r="A24">
        <v>422124</v>
      </c>
      <c r="B24" t="s">
        <v>27</v>
      </c>
      <c r="C24">
        <v>20</v>
      </c>
    </row>
    <row r="25" spans="1:3" x14ac:dyDescent="0.3">
      <c r="A25">
        <v>422124</v>
      </c>
      <c r="B25" t="s">
        <v>23</v>
      </c>
      <c r="C25">
        <v>20</v>
      </c>
    </row>
    <row r="26" spans="1:3" x14ac:dyDescent="0.3">
      <c r="A26">
        <v>422125</v>
      </c>
      <c r="B26" t="s">
        <v>25</v>
      </c>
      <c r="C26">
        <v>10</v>
      </c>
    </row>
    <row r="27" spans="1:3" x14ac:dyDescent="0.3">
      <c r="A27">
        <v>422125</v>
      </c>
      <c r="B27" t="s">
        <v>26</v>
      </c>
      <c r="C27">
        <v>10</v>
      </c>
    </row>
    <row r="28" spans="1:3" x14ac:dyDescent="0.3">
      <c r="A28">
        <v>422126</v>
      </c>
      <c r="B28" t="s">
        <v>21</v>
      </c>
      <c r="C28">
        <v>44</v>
      </c>
    </row>
    <row r="29" spans="1:3" x14ac:dyDescent="0.3">
      <c r="A29">
        <v>422127</v>
      </c>
      <c r="B29" t="s">
        <v>23</v>
      </c>
      <c r="C29">
        <v>23</v>
      </c>
    </row>
    <row r="30" spans="1:3" x14ac:dyDescent="0.3">
      <c r="A30">
        <v>422128</v>
      </c>
      <c r="B30" t="s">
        <v>27</v>
      </c>
      <c r="C30">
        <v>22</v>
      </c>
    </row>
    <row r="31" spans="1:3" x14ac:dyDescent="0.3">
      <c r="A31">
        <v>422128</v>
      </c>
      <c r="B31" t="s">
        <v>20</v>
      </c>
      <c r="C31">
        <v>30</v>
      </c>
    </row>
    <row r="32" spans="1:3" x14ac:dyDescent="0.3">
      <c r="A32">
        <v>422129</v>
      </c>
      <c r="B32" t="s">
        <v>26</v>
      </c>
      <c r="C32">
        <v>15</v>
      </c>
    </row>
    <row r="33" spans="1:3" x14ac:dyDescent="0.3">
      <c r="A33">
        <v>422130</v>
      </c>
      <c r="B33" t="s">
        <v>19</v>
      </c>
      <c r="C33">
        <v>20</v>
      </c>
    </row>
    <row r="34" spans="1:3" x14ac:dyDescent="0.3">
      <c r="A34">
        <v>422131</v>
      </c>
      <c r="B34" t="s">
        <v>22</v>
      </c>
      <c r="C34">
        <v>20</v>
      </c>
    </row>
    <row r="35" spans="1:3" x14ac:dyDescent="0.3">
      <c r="A35">
        <v>422131</v>
      </c>
      <c r="B35" t="s">
        <v>24</v>
      </c>
      <c r="C35">
        <v>10</v>
      </c>
    </row>
    <row r="36" spans="1:3" x14ac:dyDescent="0.3">
      <c r="A36">
        <v>422133</v>
      </c>
      <c r="B36" t="s">
        <v>20</v>
      </c>
      <c r="C36">
        <v>20</v>
      </c>
    </row>
    <row r="37" spans="1:3" x14ac:dyDescent="0.3">
      <c r="A37">
        <v>422134</v>
      </c>
      <c r="B37" t="s">
        <v>20</v>
      </c>
      <c r="C37">
        <v>30</v>
      </c>
    </row>
    <row r="38" spans="1:3" x14ac:dyDescent="0.3">
      <c r="A38">
        <v>422134</v>
      </c>
      <c r="B38" t="s">
        <v>21</v>
      </c>
      <c r="C38">
        <v>20</v>
      </c>
    </row>
    <row r="39" spans="1:3" x14ac:dyDescent="0.3">
      <c r="A39">
        <v>422135</v>
      </c>
      <c r="B39" t="s">
        <v>22</v>
      </c>
      <c r="C39">
        <v>30</v>
      </c>
    </row>
    <row r="40" spans="1:3" x14ac:dyDescent="0.3">
      <c r="A40">
        <v>422135</v>
      </c>
      <c r="B40" t="s">
        <v>26</v>
      </c>
      <c r="C40">
        <v>15</v>
      </c>
    </row>
    <row r="41" spans="1:3" x14ac:dyDescent="0.3">
      <c r="A41">
        <v>422137</v>
      </c>
      <c r="B41" t="s">
        <v>21</v>
      </c>
      <c r="C41">
        <v>30</v>
      </c>
    </row>
    <row r="42" spans="1:3" x14ac:dyDescent="0.3">
      <c r="A42">
        <v>422137</v>
      </c>
      <c r="B42" t="s">
        <v>24</v>
      </c>
      <c r="C42">
        <v>15</v>
      </c>
    </row>
    <row r="43" spans="1:3" x14ac:dyDescent="0.3">
      <c r="A43">
        <v>422138</v>
      </c>
      <c r="B43" t="s">
        <v>29</v>
      </c>
      <c r="C43">
        <v>20</v>
      </c>
    </row>
    <row r="44" spans="1:3" x14ac:dyDescent="0.3">
      <c r="A44">
        <v>422139</v>
      </c>
      <c r="B44" t="s">
        <v>22</v>
      </c>
      <c r="C44">
        <v>20</v>
      </c>
    </row>
    <row r="45" spans="1:3" x14ac:dyDescent="0.3">
      <c r="A45">
        <v>422139</v>
      </c>
      <c r="B45" t="s">
        <v>23</v>
      </c>
      <c r="C45">
        <v>15</v>
      </c>
    </row>
    <row r="46" spans="1:3" x14ac:dyDescent="0.3">
      <c r="A46">
        <v>422140</v>
      </c>
      <c r="B46" t="s">
        <v>23</v>
      </c>
      <c r="C46">
        <v>50</v>
      </c>
    </row>
    <row r="47" spans="1:3" x14ac:dyDescent="0.3">
      <c r="A47">
        <v>422140</v>
      </c>
      <c r="B47" t="s">
        <v>25</v>
      </c>
      <c r="C47">
        <v>13</v>
      </c>
    </row>
    <row r="48" spans="1:3" x14ac:dyDescent="0.3">
      <c r="A48">
        <v>422141</v>
      </c>
      <c r="B48" t="s">
        <v>26</v>
      </c>
      <c r="C48">
        <v>7</v>
      </c>
    </row>
    <row r="49" spans="1:3" x14ac:dyDescent="0.3">
      <c r="A49">
        <v>422142</v>
      </c>
      <c r="B49" t="s">
        <v>23</v>
      </c>
      <c r="C49">
        <v>30</v>
      </c>
    </row>
    <row r="50" spans="1:3" x14ac:dyDescent="0.3">
      <c r="A50">
        <v>422143</v>
      </c>
      <c r="B50" t="s">
        <v>23</v>
      </c>
      <c r="C50">
        <v>40</v>
      </c>
    </row>
    <row r="51" spans="1:3" x14ac:dyDescent="0.3">
      <c r="A51">
        <v>422143</v>
      </c>
      <c r="B51" t="s">
        <v>20</v>
      </c>
      <c r="C51">
        <v>18</v>
      </c>
    </row>
    <row r="52" spans="1:3" x14ac:dyDescent="0.3">
      <c r="A52">
        <v>422144</v>
      </c>
      <c r="B52" t="s">
        <v>23</v>
      </c>
      <c r="C52">
        <v>30</v>
      </c>
    </row>
    <row r="53" spans="1:3" x14ac:dyDescent="0.3">
      <c r="A53">
        <v>422144</v>
      </c>
      <c r="B53" t="s">
        <v>21</v>
      </c>
      <c r="C53">
        <v>24</v>
      </c>
    </row>
    <row r="54" spans="1:3" x14ac:dyDescent="0.3">
      <c r="A54">
        <v>422145</v>
      </c>
      <c r="B54" t="s">
        <v>29</v>
      </c>
      <c r="C54">
        <v>22</v>
      </c>
    </row>
    <row r="55" spans="1:3" x14ac:dyDescent="0.3">
      <c r="A55">
        <v>422146</v>
      </c>
      <c r="B55" t="s">
        <v>23</v>
      </c>
      <c r="C55">
        <v>30</v>
      </c>
    </row>
    <row r="56" spans="1:3" x14ac:dyDescent="0.3">
      <c r="A56">
        <v>422146</v>
      </c>
      <c r="B56" t="s">
        <v>20</v>
      </c>
      <c r="C56">
        <v>25</v>
      </c>
    </row>
    <row r="57" spans="1:3" x14ac:dyDescent="0.3">
      <c r="A57">
        <v>422146</v>
      </c>
      <c r="B57" t="s">
        <v>26</v>
      </c>
      <c r="C57">
        <v>7</v>
      </c>
    </row>
    <row r="58" spans="1:3" x14ac:dyDescent="0.3">
      <c r="A58">
        <v>422147</v>
      </c>
      <c r="B58" t="s">
        <v>22</v>
      </c>
      <c r="C58">
        <v>17</v>
      </c>
    </row>
    <row r="59" spans="1:3" x14ac:dyDescent="0.3">
      <c r="A59">
        <v>422147</v>
      </c>
      <c r="B59" t="s">
        <v>23</v>
      </c>
      <c r="C59">
        <v>60</v>
      </c>
    </row>
    <row r="60" spans="1:3" x14ac:dyDescent="0.3">
      <c r="A60">
        <v>422147</v>
      </c>
      <c r="B60" t="s">
        <v>20</v>
      </c>
      <c r="C60">
        <v>30</v>
      </c>
    </row>
    <row r="61" spans="1:3" x14ac:dyDescent="0.3">
      <c r="A61">
        <v>422148</v>
      </c>
      <c r="B61" t="s">
        <v>22</v>
      </c>
      <c r="C61">
        <v>25</v>
      </c>
    </row>
    <row r="62" spans="1:3" x14ac:dyDescent="0.3">
      <c r="A62">
        <v>422148</v>
      </c>
      <c r="B62" t="s">
        <v>21</v>
      </c>
      <c r="C62">
        <v>7</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8E3B8D-5730-43F0-8619-09573E2BCB61}">
  <dimension ref="A1:C13"/>
  <sheetViews>
    <sheetView workbookViewId="0"/>
  </sheetViews>
  <sheetFormatPr defaultRowHeight="14.4" x14ac:dyDescent="0.3"/>
  <cols>
    <col min="1" max="1" width="8.44140625" bestFit="1" customWidth="1"/>
    <col min="2" max="2" width="17.77734375" bestFit="1" customWidth="1"/>
    <col min="3" max="3" width="15.44140625" bestFit="1" customWidth="1"/>
  </cols>
  <sheetData>
    <row r="1" spans="1:3" x14ac:dyDescent="0.3">
      <c r="A1" t="s">
        <v>0</v>
      </c>
      <c r="B1" t="s">
        <v>1</v>
      </c>
      <c r="C1" t="s">
        <v>2</v>
      </c>
    </row>
    <row r="2" spans="1:3" x14ac:dyDescent="0.3">
      <c r="A2">
        <v>1</v>
      </c>
      <c r="B2" t="s">
        <v>3</v>
      </c>
      <c r="C2" t="s">
        <v>4</v>
      </c>
    </row>
    <row r="3" spans="1:3" x14ac:dyDescent="0.3">
      <c r="A3">
        <v>2</v>
      </c>
      <c r="B3" t="s">
        <v>5</v>
      </c>
      <c r="C3" t="s">
        <v>6</v>
      </c>
    </row>
    <row r="4" spans="1:3" x14ac:dyDescent="0.3">
      <c r="A4">
        <v>3</v>
      </c>
      <c r="B4" t="s">
        <v>7</v>
      </c>
      <c r="C4" t="s">
        <v>4</v>
      </c>
    </row>
    <row r="5" spans="1:3" x14ac:dyDescent="0.3">
      <c r="A5">
        <v>4</v>
      </c>
      <c r="B5" t="s">
        <v>8</v>
      </c>
      <c r="C5" t="s">
        <v>4</v>
      </c>
    </row>
    <row r="6" spans="1:3" x14ac:dyDescent="0.3">
      <c r="A6">
        <v>5</v>
      </c>
      <c r="B6" t="s">
        <v>9</v>
      </c>
      <c r="C6" t="s">
        <v>6</v>
      </c>
    </row>
    <row r="7" spans="1:3" x14ac:dyDescent="0.3">
      <c r="A7">
        <v>6</v>
      </c>
      <c r="B7" t="s">
        <v>10</v>
      </c>
      <c r="C7" t="s">
        <v>6</v>
      </c>
    </row>
    <row r="8" spans="1:3" x14ac:dyDescent="0.3">
      <c r="A8">
        <v>7</v>
      </c>
      <c r="B8" t="s">
        <v>11</v>
      </c>
      <c r="C8" t="s">
        <v>4</v>
      </c>
    </row>
    <row r="9" spans="1:3" x14ac:dyDescent="0.3">
      <c r="A9">
        <v>8</v>
      </c>
      <c r="B9" t="s">
        <v>12</v>
      </c>
      <c r="C9" t="s">
        <v>6</v>
      </c>
    </row>
    <row r="10" spans="1:3" x14ac:dyDescent="0.3">
      <c r="A10">
        <v>9</v>
      </c>
      <c r="B10" t="s">
        <v>13</v>
      </c>
      <c r="C10" t="s">
        <v>4</v>
      </c>
    </row>
    <row r="11" spans="1:3" x14ac:dyDescent="0.3">
      <c r="A11">
        <v>10</v>
      </c>
      <c r="B11" t="s">
        <v>14</v>
      </c>
      <c r="C11" t="s">
        <v>6</v>
      </c>
    </row>
    <row r="12" spans="1:3" x14ac:dyDescent="0.3">
      <c r="A12">
        <v>11</v>
      </c>
      <c r="B12" t="s">
        <v>15</v>
      </c>
      <c r="C12" t="s">
        <v>6</v>
      </c>
    </row>
    <row r="13" spans="1:3" x14ac:dyDescent="0.3">
      <c r="A13">
        <v>12</v>
      </c>
      <c r="B13" t="s">
        <v>16</v>
      </c>
      <c r="C13" t="s">
        <v>4</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0A91BD-29F7-4A74-9B5F-5BC0252DE54C}">
  <dimension ref="A1:D54"/>
  <sheetViews>
    <sheetView topLeftCell="A46" workbookViewId="0">
      <selection activeCell="A50" sqref="A48:D54"/>
    </sheetView>
  </sheetViews>
  <sheetFormatPr defaultRowHeight="14.4" x14ac:dyDescent="0.3"/>
  <cols>
    <col min="1" max="1" width="20.33203125" bestFit="1" customWidth="1"/>
    <col min="2" max="2" width="15.5546875" bestFit="1" customWidth="1"/>
    <col min="3" max="3" width="4" bestFit="1" customWidth="1"/>
    <col min="4" max="4" width="10.77734375" bestFit="1" customWidth="1"/>
  </cols>
  <sheetData>
    <row r="1" spans="1:3" x14ac:dyDescent="0.3">
      <c r="A1" t="s">
        <v>55</v>
      </c>
    </row>
    <row r="2" spans="1:3" x14ac:dyDescent="0.3">
      <c r="A2" s="8">
        <v>4</v>
      </c>
      <c r="C2">
        <f>A2</f>
        <v>4</v>
      </c>
    </row>
    <row r="4" spans="1:3" x14ac:dyDescent="0.3">
      <c r="A4" t="s">
        <v>56</v>
      </c>
    </row>
    <row r="5" spans="1:3" x14ac:dyDescent="0.3">
      <c r="A5" s="8">
        <v>38</v>
      </c>
      <c r="C5">
        <f>A5</f>
        <v>38</v>
      </c>
    </row>
    <row r="7" spans="1:3" x14ac:dyDescent="0.3">
      <c r="A7" t="s">
        <v>62</v>
      </c>
    </row>
    <row r="8" spans="1:3" x14ac:dyDescent="0.3">
      <c r="A8" s="8">
        <v>1388</v>
      </c>
      <c r="C8">
        <f>A8</f>
        <v>1388</v>
      </c>
    </row>
    <row r="11" spans="1:3" x14ac:dyDescent="0.3">
      <c r="A11" s="3" t="s">
        <v>2</v>
      </c>
      <c r="B11" t="s" vm="1">
        <v>6</v>
      </c>
    </row>
    <row r="13" spans="1:3" x14ac:dyDescent="0.3">
      <c r="A13" s="3" t="s">
        <v>57</v>
      </c>
      <c r="B13" t="s">
        <v>61</v>
      </c>
    </row>
    <row r="14" spans="1:3" x14ac:dyDescent="0.3">
      <c r="A14" s="4" t="s">
        <v>38</v>
      </c>
      <c r="B14" s="5">
        <v>25.333333333333332</v>
      </c>
    </row>
    <row r="15" spans="1:3" x14ac:dyDescent="0.3">
      <c r="A15" s="4" t="s">
        <v>40</v>
      </c>
      <c r="B15" s="5">
        <v>19.2</v>
      </c>
    </row>
    <row r="16" spans="1:3" x14ac:dyDescent="0.3">
      <c r="A16" s="4" t="s">
        <v>41</v>
      </c>
      <c r="B16" s="5">
        <v>27.333333333333332</v>
      </c>
    </row>
    <row r="17" spans="1:2" x14ac:dyDescent="0.3">
      <c r="A17" s="4" t="s">
        <v>36</v>
      </c>
      <c r="B17" s="5">
        <v>27.428571428571427</v>
      </c>
    </row>
    <row r="18" spans="1:2" x14ac:dyDescent="0.3">
      <c r="A18" s="4" t="s">
        <v>58</v>
      </c>
      <c r="B18" s="5">
        <v>24.25</v>
      </c>
    </row>
    <row r="19" spans="1:2" x14ac:dyDescent="0.3">
      <c r="A19" s="3" t="s">
        <v>63</v>
      </c>
      <c r="B19" t="s" vm="2">
        <v>60</v>
      </c>
    </row>
    <row r="21" spans="1:2" x14ac:dyDescent="0.3">
      <c r="A21" s="3" t="s">
        <v>57</v>
      </c>
      <c r="B21" t="s">
        <v>59</v>
      </c>
    </row>
    <row r="22" spans="1:2" x14ac:dyDescent="0.3">
      <c r="A22" s="7">
        <v>45533</v>
      </c>
      <c r="B22" s="8">
        <v>244</v>
      </c>
    </row>
    <row r="23" spans="1:2" x14ac:dyDescent="0.3">
      <c r="A23" s="7">
        <v>45534</v>
      </c>
      <c r="B23" s="8">
        <v>444</v>
      </c>
    </row>
    <row r="24" spans="1:2" x14ac:dyDescent="0.3">
      <c r="A24" s="7">
        <v>45535</v>
      </c>
      <c r="B24" s="8">
        <v>165</v>
      </c>
    </row>
    <row r="25" spans="1:2" x14ac:dyDescent="0.3">
      <c r="A25" s="7">
        <v>45537</v>
      </c>
      <c r="B25" s="8">
        <v>503</v>
      </c>
    </row>
    <row r="26" spans="1:2" x14ac:dyDescent="0.3">
      <c r="A26" s="7">
        <v>45538</v>
      </c>
      <c r="B26" s="8">
        <v>32</v>
      </c>
    </row>
    <row r="27" spans="1:2" x14ac:dyDescent="0.3">
      <c r="A27" s="4" t="s">
        <v>58</v>
      </c>
      <c r="B27" s="8">
        <v>1388</v>
      </c>
    </row>
    <row r="30" spans="1:2" x14ac:dyDescent="0.3">
      <c r="A30" s="3" t="s">
        <v>57</v>
      </c>
      <c r="B30" t="s">
        <v>59</v>
      </c>
    </row>
    <row r="31" spans="1:2" x14ac:dyDescent="0.3">
      <c r="A31" s="4" t="s">
        <v>51</v>
      </c>
      <c r="B31" s="8">
        <v>771</v>
      </c>
    </row>
    <row r="32" spans="1:2" x14ac:dyDescent="0.3">
      <c r="A32" s="4" t="s">
        <v>52</v>
      </c>
      <c r="B32" s="8">
        <v>115</v>
      </c>
    </row>
    <row r="33" spans="1:2" x14ac:dyDescent="0.3">
      <c r="A33" s="4" t="s">
        <v>50</v>
      </c>
      <c r="B33" s="8">
        <v>169</v>
      </c>
    </row>
    <row r="34" spans="1:2" x14ac:dyDescent="0.3">
      <c r="A34" s="4" t="s">
        <v>48</v>
      </c>
      <c r="B34" s="8">
        <v>75</v>
      </c>
    </row>
    <row r="35" spans="1:2" x14ac:dyDescent="0.3">
      <c r="A35" s="4" t="s">
        <v>53</v>
      </c>
      <c r="B35" s="8">
        <v>258</v>
      </c>
    </row>
    <row r="36" spans="1:2" x14ac:dyDescent="0.3">
      <c r="A36" s="4" t="s">
        <v>58</v>
      </c>
      <c r="B36" s="8">
        <v>1388</v>
      </c>
    </row>
    <row r="39" spans="1:2" x14ac:dyDescent="0.3">
      <c r="A39" s="3" t="s">
        <v>57</v>
      </c>
      <c r="B39" t="s">
        <v>59</v>
      </c>
    </row>
    <row r="40" spans="1:2" x14ac:dyDescent="0.3">
      <c r="A40" s="4" t="s">
        <v>5</v>
      </c>
      <c r="B40" s="8">
        <v>160</v>
      </c>
    </row>
    <row r="41" spans="1:2" x14ac:dyDescent="0.3">
      <c r="A41" s="4" t="s">
        <v>12</v>
      </c>
      <c r="B41" s="8">
        <v>145</v>
      </c>
    </row>
    <row r="42" spans="1:2" x14ac:dyDescent="0.3">
      <c r="A42" s="4" t="s">
        <v>8</v>
      </c>
      <c r="B42" s="8">
        <v>225</v>
      </c>
    </row>
    <row r="43" spans="1:2" x14ac:dyDescent="0.3">
      <c r="A43" s="4" t="s">
        <v>10</v>
      </c>
      <c r="B43" s="8">
        <v>332</v>
      </c>
    </row>
    <row r="44" spans="1:2" x14ac:dyDescent="0.3">
      <c r="A44" s="4" t="s">
        <v>11</v>
      </c>
      <c r="B44" s="8">
        <v>254</v>
      </c>
    </row>
    <row r="45" spans="1:2" x14ac:dyDescent="0.3">
      <c r="A45" s="4" t="s">
        <v>58</v>
      </c>
      <c r="B45" s="8">
        <v>1116</v>
      </c>
    </row>
    <row r="48" spans="1:2" x14ac:dyDescent="0.3">
      <c r="A48" s="3" t="s">
        <v>59</v>
      </c>
      <c r="B48" s="3" t="s">
        <v>64</v>
      </c>
    </row>
    <row r="49" spans="1:4" x14ac:dyDescent="0.3">
      <c r="A49" s="3" t="s">
        <v>57</v>
      </c>
      <c r="B49" t="s">
        <v>4</v>
      </c>
      <c r="C49" t="s">
        <v>6</v>
      </c>
      <c r="D49" t="s">
        <v>58</v>
      </c>
    </row>
    <row r="50" spans="1:4" x14ac:dyDescent="0.3">
      <c r="A50" s="4" t="s">
        <v>38</v>
      </c>
      <c r="B50" s="8">
        <v>156</v>
      </c>
      <c r="C50" s="8">
        <v>228</v>
      </c>
      <c r="D50" s="8">
        <v>384</v>
      </c>
    </row>
    <row r="51" spans="1:4" x14ac:dyDescent="0.3">
      <c r="A51" s="4" t="s">
        <v>40</v>
      </c>
      <c r="B51" s="8">
        <v>178</v>
      </c>
      <c r="C51" s="8">
        <v>192</v>
      </c>
      <c r="D51" s="8">
        <v>370</v>
      </c>
    </row>
    <row r="52" spans="1:4" x14ac:dyDescent="0.3">
      <c r="A52" s="4" t="s">
        <v>41</v>
      </c>
      <c r="B52" s="8">
        <v>138</v>
      </c>
      <c r="C52" s="8">
        <v>164</v>
      </c>
      <c r="D52" s="8">
        <v>302</v>
      </c>
    </row>
    <row r="53" spans="1:4" x14ac:dyDescent="0.3">
      <c r="A53" s="4" t="s">
        <v>36</v>
      </c>
      <c r="B53" s="8">
        <v>140</v>
      </c>
      <c r="C53" s="8">
        <v>192</v>
      </c>
      <c r="D53" s="8">
        <v>332</v>
      </c>
    </row>
    <row r="54" spans="1:4" x14ac:dyDescent="0.3">
      <c r="A54" s="4" t="s">
        <v>58</v>
      </c>
      <c r="B54" s="8">
        <v>612</v>
      </c>
      <c r="C54" s="8">
        <v>776</v>
      </c>
      <c r="D54" s="8">
        <v>1388</v>
      </c>
    </row>
  </sheetData>
  <pageMargins left="0.7" right="0.7" top="0.75" bottom="0.75" header="0.3" footer="0.3"/>
  <drawing r:id="rId9"/>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E7D6F4-964A-48E8-B69A-344D2B1C350C}">
  <dimension ref="A1"/>
  <sheetViews>
    <sheetView showGridLines="0" tabSelected="1" workbookViewId="0">
      <selection activeCell="S26" sqref="S26"/>
    </sheetView>
  </sheetViews>
  <sheetFormatPr defaultRowHeight="14.4" x14ac:dyDescent="0.3"/>
  <cols>
    <col min="1" max="16384" width="8.88671875" style="6"/>
  </cols>
  <sheetData/>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Props1.xml><?xml version="1.0" encoding="utf-8"?>
<ds:datastoreItem xmlns:ds="http://schemas.openxmlformats.org/officeDocument/2006/customXml" ds:itemID="{4B03DB67-A7B4-4E48-91E2-41D456194796}">
  <ds:schemaRefs/>
</ds:datastoreItem>
</file>

<file path=customXml/itemProps2.xml><?xml version="1.0" encoding="utf-8"?>
<ds:datastoreItem xmlns:ds="http://schemas.openxmlformats.org/officeDocument/2006/customXml" ds:itemID="{145F4F3E-6768-4494-8D66-1473EB9D8B49}">
  <ds:schemaRefs/>
</ds:datastoreItem>
</file>

<file path=customXml/itemProps3.xml><?xml version="1.0" encoding="utf-8"?>
<ds:datastoreItem xmlns:ds="http://schemas.openxmlformats.org/officeDocument/2006/customXml" ds:itemID="{6E1177E2-240F-43D3-A0C1-DA9753283E85}">
  <ds:schemaRefs/>
</ds:datastoreItem>
</file>

<file path=customXml/itemProps4.xml><?xml version="1.0" encoding="utf-8"?>
<ds:datastoreItem xmlns:ds="http://schemas.openxmlformats.org/officeDocument/2006/customXml" ds:itemID="{38D2386D-7816-4351-8129-D104D278E33C}">
  <ds:schemaRefs/>
</ds:datastoreItem>
</file>

<file path=customXml/itemProps5.xml><?xml version="1.0" encoding="utf-8"?>
<ds:datastoreItem xmlns:ds="http://schemas.openxmlformats.org/officeDocument/2006/customXml" ds:itemID="{80381C05-CDD2-47B5-9ED0-BB839A99A623}">
  <ds:schemaRefs>
    <ds:schemaRef ds:uri="http://schemas.microsoft.com/DataMashup"/>
  </ds:schemaRefs>
</ds:datastoreItem>
</file>

<file path=customXml/itemProps6.xml><?xml version="1.0" encoding="utf-8"?>
<ds:datastoreItem xmlns:ds="http://schemas.openxmlformats.org/officeDocument/2006/customXml" ds:itemID="{DC868984-3562-43D0-8676-14BBCB192B3C}">
  <ds:schemaRefs/>
</ds:datastoreItem>
</file>

<file path=customXml/itemProps7.xml><?xml version="1.0" encoding="utf-8"?>
<ds:datastoreItem xmlns:ds="http://schemas.openxmlformats.org/officeDocument/2006/customXml" ds:itemID="{72D142A4-7D3B-48D2-951C-8C160E78A5AF}">
  <ds:schemaRefs/>
</ds:datastoreItem>
</file>

<file path=customXml/itemProps8.xml><?xml version="1.0" encoding="utf-8"?>
<ds:datastoreItem xmlns:ds="http://schemas.openxmlformats.org/officeDocument/2006/customXml" ds:itemID="{CE9B65BA-D778-4B46-B60D-647C33E3745D}">
  <ds:schemaRefs/>
</ds:datastoreItem>
</file>

<file path=customXml/itemProps9.xml><?xml version="1.0" encoding="utf-8"?>
<ds:datastoreItem xmlns:ds="http://schemas.openxmlformats.org/officeDocument/2006/customXml" ds:itemID="{D7A7E77C-1165-497E-8C48-09128AEB74AE}">
  <ds:schemaRefs/>
</ds:datastoreItem>
</file>

<file path=customXml/itemProps10.xml><?xml version="1.0" encoding="utf-8"?>
<ds:datastoreItem xmlns:ds="http://schemas.openxmlformats.org/officeDocument/2006/customXml" ds:itemID="{B0094D71-2D70-44DD-8BC6-5CAA055B7A64}">
  <ds:schemaRefs/>
</ds:datastoreItem>
</file>

<file path=customXml/itemProps11.xml><?xml version="1.0" encoding="utf-8"?>
<ds:datastoreItem xmlns:ds="http://schemas.openxmlformats.org/officeDocument/2006/customXml" ds:itemID="{4D3F8760-BD81-4A1A-AFD1-4BCDE4957B9D}">
  <ds:schemaRefs/>
</ds:datastoreItem>
</file>

<file path=customXml/itemProps12.xml><?xml version="1.0" encoding="utf-8"?>
<ds:datastoreItem xmlns:ds="http://schemas.openxmlformats.org/officeDocument/2006/customXml" ds:itemID="{58CD9CEC-6004-489B-810D-5A716178A185}">
  <ds:schemaRefs/>
</ds:datastoreItem>
</file>

<file path=customXml/itemProps13.xml><?xml version="1.0" encoding="utf-8"?>
<ds:datastoreItem xmlns:ds="http://schemas.openxmlformats.org/officeDocument/2006/customXml" ds:itemID="{9CB3C4F5-BE79-437C-BA38-A6869EE43C73}">
  <ds:schemaRefs/>
</ds:datastoreItem>
</file>

<file path=customXml/itemProps14.xml><?xml version="1.0" encoding="utf-8"?>
<ds:datastoreItem xmlns:ds="http://schemas.openxmlformats.org/officeDocument/2006/customXml" ds:itemID="{9115A71E-D0FF-4F5C-AD55-F272BEEA7727}">
  <ds:schemaRefs/>
</ds:datastoreItem>
</file>

<file path=customXml/itemProps15.xml><?xml version="1.0" encoding="utf-8"?>
<ds:datastoreItem xmlns:ds="http://schemas.openxmlformats.org/officeDocument/2006/customXml" ds:itemID="{E13A4A91-ECB2-4508-B3AE-D9140A3C6163}">
  <ds:schemaRefs/>
</ds:datastoreItem>
</file>

<file path=customXml/itemProps16.xml><?xml version="1.0" encoding="utf-8"?>
<ds:datastoreItem xmlns:ds="http://schemas.openxmlformats.org/officeDocument/2006/customXml" ds:itemID="{D4075EA4-41B9-47B3-9E2D-D39CF7AB7029}">
  <ds:schemaRefs/>
</ds:datastoreItem>
</file>

<file path=customXml/itemProps17.xml><?xml version="1.0" encoding="utf-8"?>
<ds:datastoreItem xmlns:ds="http://schemas.openxmlformats.org/officeDocument/2006/customXml" ds:itemID="{1E933C24-A497-436A-A1B6-A267BFDF6B83}">
  <ds:schemaRefs/>
</ds:datastoreItem>
</file>

<file path=customXml/itemProps18.xml><?xml version="1.0" encoding="utf-8"?>
<ds:datastoreItem xmlns:ds="http://schemas.openxmlformats.org/officeDocument/2006/customXml" ds:itemID="{49F348EF-CEF2-4519-B309-B9C3F7B78C65}">
  <ds:schemaRefs/>
</ds:datastoreItem>
</file>

<file path=customXml/itemProps19.xml><?xml version="1.0" encoding="utf-8"?>
<ds:datastoreItem xmlns:ds="http://schemas.openxmlformats.org/officeDocument/2006/customXml" ds:itemID="{305DEF86-F28E-4C01-8F71-91C0506243C5}">
  <ds:schemaRefs/>
</ds:datastoreItem>
</file>

<file path=customXml/itemProps20.xml><?xml version="1.0" encoding="utf-8"?>
<ds:datastoreItem xmlns:ds="http://schemas.openxmlformats.org/officeDocument/2006/customXml" ds:itemID="{41837AA7-51F2-4E84-BDFB-76C0806F70F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Products</vt:lpstr>
      <vt:lpstr>Line productivity</vt:lpstr>
      <vt:lpstr>Line downtime</vt:lpstr>
      <vt:lpstr>Downtime factors</vt:lpstr>
      <vt:lpstr>Analysis </vt:lpstr>
      <vt:lpstr>Executive 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Akshith Nag</dc:creator>
  <cp:lastModifiedBy>Akshith Nag</cp:lastModifiedBy>
  <dcterms:created xsi:type="dcterms:W3CDTF">2026-10-13T01:54:19Z</dcterms:created>
  <dcterms:modified xsi:type="dcterms:W3CDTF">2026-10-13T06:29:59Z</dcterms:modified>
</cp:coreProperties>
</file>